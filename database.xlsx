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858f998f051acb0/Documentos/Projeto VS Code Python/"/>
    </mc:Choice>
  </mc:AlternateContent>
  <xr:revisionPtr revIDLastSave="1" documentId="11_776F07A770F9F7C788CB18B4F932566B866BBA43" xr6:coauthVersionLast="47" xr6:coauthVersionMax="47" xr10:uidLastSave="{49D5098E-7CE1-4E31-A86C-AD990AF41480}"/>
  <bookViews>
    <workbookView xWindow="-120" yWindow="-120" windowWidth="29040" windowHeight="15720" xr2:uid="{00000000-000D-0000-FFFF-FFFF00000000}"/>
  </bookViews>
  <sheets>
    <sheet name="Database" sheetId="1" r:id="rId1"/>
    <sheet name="Resumo" sheetId="2" r:id="rId2"/>
  </sheets>
  <definedNames>
    <definedName name="_xlnm._FilterDatabase" localSheetId="0" hidden="1">Database!$A$1:$K$84</definedName>
  </definedName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4" i="1" l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<sst xmlns="http://schemas.openxmlformats.org/spreadsheetml/2006/main" count="567" uniqueCount="93">
  <si>
    <t>Data</t>
  </si>
  <si>
    <t>Rec/Des</t>
  </si>
  <si>
    <t>Tipo</t>
  </si>
  <si>
    <t>Categoria</t>
  </si>
  <si>
    <t>Subcategoria</t>
  </si>
  <si>
    <t>Valor</t>
  </si>
  <si>
    <t>Conta</t>
  </si>
  <si>
    <t>Subconta</t>
  </si>
  <si>
    <t>Descrição</t>
  </si>
  <si>
    <t>Mês</t>
  </si>
  <si>
    <t>Ano</t>
  </si>
  <si>
    <t>Despesa</t>
  </si>
  <si>
    <t>Fixo</t>
  </si>
  <si>
    <t>Cuidado Pessoal</t>
  </si>
  <si>
    <t>Corte de Cabelo</t>
  </si>
  <si>
    <t>Contas à Pagar</t>
  </si>
  <si>
    <t>Cartão de crédito Bradesco</t>
  </si>
  <si>
    <t>Educação</t>
  </si>
  <si>
    <t>Cursos</t>
  </si>
  <si>
    <t>Cartão de crédito Nubank</t>
  </si>
  <si>
    <t>MBA</t>
  </si>
  <si>
    <t>Receita</t>
  </si>
  <si>
    <t>Salário</t>
  </si>
  <si>
    <t>Conta Corrente</t>
  </si>
  <si>
    <t>Nubank</t>
  </si>
  <si>
    <t>Serviços</t>
  </si>
  <si>
    <t>Google One</t>
  </si>
  <si>
    <t>Microsoft365</t>
  </si>
  <si>
    <t>Plano Telefônico</t>
  </si>
  <si>
    <t>Spotify</t>
  </si>
  <si>
    <t>Transporte</t>
  </si>
  <si>
    <t>Combustível</t>
  </si>
  <si>
    <t>Variável</t>
  </si>
  <si>
    <t>Lazer</t>
  </si>
  <si>
    <t>Viagens</t>
  </si>
  <si>
    <t>Parcela 7/12</t>
  </si>
  <si>
    <t>Parcela 8/12</t>
  </si>
  <si>
    <t>Parcela 9/12</t>
  </si>
  <si>
    <t>Parcela 10/12</t>
  </si>
  <si>
    <t>Parcela 11/12</t>
  </si>
  <si>
    <t>Parcela 12/12</t>
  </si>
  <si>
    <t>Parcela 05/10</t>
  </si>
  <si>
    <t>Parcela 06/10</t>
  </si>
  <si>
    <t>Parcela 07/10</t>
  </si>
  <si>
    <t>Parcela 08/10</t>
  </si>
  <si>
    <t>Parcela 09/10</t>
  </si>
  <si>
    <t>Parcela 10/10</t>
  </si>
  <si>
    <t>IPVA</t>
  </si>
  <si>
    <t>IPVA Jeep parcela 11/12</t>
  </si>
  <si>
    <t>IPVA Jeep parcela 12/12</t>
  </si>
  <si>
    <t>Aquisições</t>
  </si>
  <si>
    <t>Utilitários</t>
  </si>
  <si>
    <t>Mochila Parcela 1/7</t>
  </si>
  <si>
    <t>Mochila Parcela 2/7</t>
  </si>
  <si>
    <t>Mochila Parcela 3/7</t>
  </si>
  <si>
    <t>Mochila Parcela 4/7</t>
  </si>
  <si>
    <t>Mochila Parcela 5/7</t>
  </si>
  <si>
    <t>Mochila Parcela 6/7</t>
  </si>
  <si>
    <t>Mochila Parcela 7/7</t>
  </si>
  <si>
    <t>Eletrônicos</t>
  </si>
  <si>
    <t>Galaxy Fit 3</t>
  </si>
  <si>
    <t>Custo transação no exterior</t>
  </si>
  <si>
    <t>Consumo</t>
  </si>
  <si>
    <t>Delivery</t>
  </si>
  <si>
    <t>Pizza despedida de solteiro Pedro</t>
  </si>
  <si>
    <t>Parte pizza Eduardo</t>
  </si>
  <si>
    <t>Parte pizza Pai</t>
  </si>
  <si>
    <t>Parte pizza Digo</t>
  </si>
  <si>
    <t>Farmácia</t>
  </si>
  <si>
    <t>Lanchonete</t>
  </si>
  <si>
    <t>Mercado</t>
  </si>
  <si>
    <t>Alfajor Paraguay</t>
  </si>
  <si>
    <t>Coca-cola</t>
  </si>
  <si>
    <t>Aulas</t>
  </si>
  <si>
    <t>Aula Espanhol - Valor da aula</t>
  </si>
  <si>
    <t>Aula Espanhol - Taxas de cambio</t>
  </si>
  <si>
    <t>Livros</t>
  </si>
  <si>
    <t>Data Science do Zero</t>
  </si>
  <si>
    <t>Futebol</t>
  </si>
  <si>
    <t>Jogos</t>
  </si>
  <si>
    <t>Outros</t>
  </si>
  <si>
    <t>Presentes</t>
  </si>
  <si>
    <t>Veterinário</t>
  </si>
  <si>
    <t>Internet</t>
  </si>
  <si>
    <t>Roupas e Calçados</t>
  </si>
  <si>
    <t>Camisa para o casamento da Gabi</t>
  </si>
  <si>
    <t>Rolês</t>
  </si>
  <si>
    <t>Role após o casamento da Gabi</t>
  </si>
  <si>
    <t>Receita Total</t>
  </si>
  <si>
    <t>Despesa Total</t>
  </si>
  <si>
    <t>SUM of Valor</t>
  </si>
  <si>
    <t>Total Geral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</si>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</sst>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[$R$ -416]* #,##0.00_);_([$R$ -416]* \(#,##0.00\);_([$R$ -416]* &quot;-&quot;??_);_(@_)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0" fillId="0" borderId="1" xfId="0" pivotButton="1" applyBorder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0" xfId="0" applyNumberFormat="1"/>
    <xf numFmtId="0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0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pivotButton="1" applyBorder="1"/>
    <xf numFmtId="0" fontId="0" fillId="0" borderId="14" xfId="0" applyBorder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atabase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ilipe Engel Moura" refreshedDate="45990.678242824077" refreshedVersion="8" recordCount="83" xr:uid="{00000000-000A-0000-FFFF-FFFF00000000}">
  <cacheSource type="worksheet">
    <worksheetSource ref="A1:K84" sheet="Database"/>
  </cacheSource>
  <cacheFields count="11">
    <cacheField name="Data" numFmtId="0">
      <sharedItems containsSemiMixedTypes="0" containsNonDate="0" containsDate="1" containsString="0" minDate="2025-10-01T00:00:00" maxDate="2026-04-06T00:00:00" count="47">
        <d v="2025-10-08T00:00:00"/>
        <d v="2025-10-10T00:00:00"/>
        <d v="2025-11-10T00:00:00"/>
        <d v="2025-10-30T00:00:00"/>
        <d v="2025-10-06T00:00:00"/>
        <d v="2025-11-06T00:00:00"/>
        <d v="2025-10-17T00:00:00"/>
        <d v="2025-11-17T00:00:00"/>
        <d v="2025-10-12T00:00:00"/>
        <d v="2025-11-11T00:00:00"/>
        <d v="2025-10-04T00:00:00"/>
        <d v="2025-10-19T00:00:00"/>
        <d v="2025-10-27T00:00:00"/>
        <d v="2025-11-27T00:00:00"/>
        <d v="2025-12-27T00:00:00"/>
        <d v="2026-01-27T00:00:00"/>
        <d v="2026-02-27T00:00:00"/>
        <d v="2026-03-27T00:00:00"/>
        <d v="2025-11-04T00:00:00"/>
        <d v="2025-12-04T00:00:00"/>
        <d v="2026-01-04T00:00:00"/>
        <d v="2026-02-04T00:00:00"/>
        <d v="2026-03-04T00:00:00"/>
        <d v="2025-10-01T00:00:00"/>
        <d v="2025-11-01T00:00:00"/>
        <d v="2025-10-05T00:00:00"/>
        <d v="2025-11-05T00:00:00"/>
        <d v="2025-12-05T00:00:00"/>
        <d v="2026-01-05T00:00:00"/>
        <d v="2026-02-05T00:00:00"/>
        <d v="2026-03-05T00:00:00"/>
        <d v="2026-04-05T00:00:00"/>
        <d v="2025-10-20T00:00:00"/>
        <d v="2025-11-02T00:00:00"/>
        <d v="2025-11-08T00:00:00"/>
        <d v="2025-10-28T00:00:00"/>
        <d v="2025-11-03T00:00:00"/>
        <d v="2025-10-18T00:00:00"/>
        <d v="2025-11-18T00:00:00"/>
        <d v="2025-11-09T00:00:00"/>
        <d v="2025-11-07T00:00:00"/>
        <d v="2025-10-16T00:00:00"/>
        <d v="2025-11-15T00:00:00"/>
        <d v="2025-11-19T00:00:00"/>
        <d v="2025-11-21T00:00:00"/>
        <d v="2025-11-22T00:00:00"/>
        <d v="2025-11-25T00:00:00"/>
      </sharedItems>
    </cacheField>
    <cacheField name="Rec/Des" numFmtId="0">
      <sharedItems count="2">
        <s v="Despesa"/>
        <s v="Receita"/>
      </sharedItems>
    </cacheField>
    <cacheField name="Tipo" numFmtId="0">
      <sharedItems/>
    </cacheField>
    <cacheField name="Categoria" numFmtId="0">
      <sharedItems count="9">
        <s v="Cuidado Pessoal"/>
        <s v="Educação"/>
        <s v="Salário"/>
        <s v="Serviços"/>
        <s v="Transporte"/>
        <s v="Lazer"/>
        <s v="Aquisições"/>
        <s v="Consumo"/>
        <s v="Outros"/>
      </sharedItems>
    </cacheField>
    <cacheField name="Subcategoria" numFmtId="0">
      <sharedItems/>
    </cacheField>
    <cacheField name="Valor" numFmtId="164">
      <sharedItems containsSemiMixedTypes="0" containsString="0" containsNumber="1" minValue="-599" maxValue="4808.8999999999996"/>
    </cacheField>
    <cacheField name="Conta" numFmtId="0">
      <sharedItems/>
    </cacheField>
    <cacheField name="Subconta" numFmtId="0">
      <sharedItems/>
    </cacheField>
    <cacheField name="Descrição" numFmtId="0">
      <sharedItems containsBlank="1"/>
    </cacheField>
    <cacheField name="Mês" numFmtId="0">
      <sharedItems containsSemiMixedTypes="0" containsString="0" containsNumber="1" containsInteger="1" minValue="1" maxValue="12" count="7">
        <n v="10"/>
        <n v="11"/>
        <n v="12"/>
        <n v="1"/>
        <n v="2"/>
        <n v="3"/>
        <n v="4"/>
      </sharedItems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x v="0"/>
    <s v="Fixo"/>
    <x v="0"/>
    <s v="Corte de Cabelo"/>
    <n v="-100"/>
    <s v="Contas à Pagar"/>
    <s v="Cartão de crédito Bradesco"/>
    <m/>
    <x v="0"/>
    <x v="0"/>
  </r>
  <r>
    <x v="1"/>
    <x v="0"/>
    <s v="Fixo"/>
    <x v="1"/>
    <s v="Cursos"/>
    <n v="-508.09"/>
    <s v="Contas à Pagar"/>
    <s v="Cartão de crédito Nubank"/>
    <s v="MBA"/>
    <x v="0"/>
    <x v="0"/>
  </r>
  <r>
    <x v="2"/>
    <x v="0"/>
    <s v="Fixo"/>
    <x v="1"/>
    <s v="Cursos"/>
    <n v="-508.09"/>
    <s v="Contas à Pagar"/>
    <s v="Cartão de crédito Nubank"/>
    <s v="MBA"/>
    <x v="1"/>
    <x v="0"/>
  </r>
  <r>
    <x v="3"/>
    <x v="1"/>
    <s v="Fixo"/>
    <x v="2"/>
    <s v="Salário"/>
    <n v="4808.8999999999996"/>
    <s v="Conta Corrente"/>
    <s v="Nubank"/>
    <m/>
    <x v="0"/>
    <x v="0"/>
  </r>
  <r>
    <x v="4"/>
    <x v="0"/>
    <s v="Fixo"/>
    <x v="3"/>
    <s v="Google One"/>
    <n v="-4.5"/>
    <s v="Contas à Pagar"/>
    <s v="Cartão de crédito Nubank"/>
    <m/>
    <x v="0"/>
    <x v="0"/>
  </r>
  <r>
    <x v="5"/>
    <x v="0"/>
    <s v="Fixo"/>
    <x v="3"/>
    <s v="Google One"/>
    <n v="-4.5"/>
    <s v="Contas à Pagar"/>
    <s v="Cartão de crédito Nubank"/>
    <m/>
    <x v="1"/>
    <x v="0"/>
  </r>
  <r>
    <x v="0"/>
    <x v="0"/>
    <s v="Fixo"/>
    <x v="3"/>
    <s v="Microsoft365"/>
    <n v="-599"/>
    <s v="Contas à Pagar"/>
    <s v="Cartão de crédito Bradesco"/>
    <m/>
    <x v="0"/>
    <x v="0"/>
  </r>
  <r>
    <x v="6"/>
    <x v="0"/>
    <s v="Fixo"/>
    <x v="3"/>
    <s v="Plano Telefônico"/>
    <n v="-54"/>
    <s v="Contas à Pagar"/>
    <s v="Cartão de crédito Nubank"/>
    <m/>
    <x v="0"/>
    <x v="0"/>
  </r>
  <r>
    <x v="7"/>
    <x v="0"/>
    <s v="Fixo"/>
    <x v="3"/>
    <s v="Plano Telefônico"/>
    <n v="-54"/>
    <s v="Contas à Pagar"/>
    <s v="Cartão de crédito Nubank"/>
    <m/>
    <x v="1"/>
    <x v="0"/>
  </r>
  <r>
    <x v="8"/>
    <x v="0"/>
    <s v="Fixo"/>
    <x v="3"/>
    <s v="Spotify"/>
    <n v="-40.9"/>
    <s v="Contas à Pagar"/>
    <s v="Cartão de crédito Nubank"/>
    <m/>
    <x v="0"/>
    <x v="0"/>
  </r>
  <r>
    <x v="9"/>
    <x v="0"/>
    <s v="Fixo"/>
    <x v="3"/>
    <s v="Spotify"/>
    <n v="-40.9"/>
    <s v="Contas à Pagar"/>
    <s v="Cartão de crédito Nubank"/>
    <m/>
    <x v="1"/>
    <x v="0"/>
  </r>
  <r>
    <x v="10"/>
    <x v="0"/>
    <s v="Fixo"/>
    <x v="4"/>
    <s v="Combustível"/>
    <n v="-50"/>
    <s v="Contas à Pagar"/>
    <s v="Cartão de crédito Bradesco"/>
    <m/>
    <x v="0"/>
    <x v="0"/>
  </r>
  <r>
    <x v="1"/>
    <x v="0"/>
    <s v="Fixo"/>
    <x v="4"/>
    <s v="Combustível"/>
    <n v="-131.05000000000001"/>
    <s v="Contas à Pagar"/>
    <s v="Cartão de crédito Bradesco"/>
    <m/>
    <x v="0"/>
    <x v="0"/>
  </r>
  <r>
    <x v="11"/>
    <x v="0"/>
    <s v="Fixo"/>
    <x v="4"/>
    <s v="Combustível"/>
    <n v="-50"/>
    <s v="Contas à Pagar"/>
    <s v="Cartão de crédito Bradesco"/>
    <m/>
    <x v="0"/>
    <x v="0"/>
  </r>
  <r>
    <x v="3"/>
    <x v="0"/>
    <s v="Fixo"/>
    <x v="4"/>
    <s v="Combustível"/>
    <n v="-177"/>
    <s v="Conta Corrente"/>
    <s v="Nubank"/>
    <m/>
    <x v="0"/>
    <x v="0"/>
  </r>
  <r>
    <x v="9"/>
    <x v="0"/>
    <s v="Fixo"/>
    <x v="4"/>
    <s v="Combustível"/>
    <n v="-110.67"/>
    <s v="Contas à Pagar"/>
    <s v="Cartão de crédito Nubank"/>
    <m/>
    <x v="1"/>
    <x v="0"/>
  </r>
  <r>
    <x v="12"/>
    <x v="0"/>
    <s v="Variável"/>
    <x v="5"/>
    <s v="Viagens"/>
    <n v="-229.5"/>
    <s v="Contas à Pagar"/>
    <s v="Cartão de crédito Bradesco"/>
    <s v="Parcela 7/12"/>
    <x v="0"/>
    <x v="0"/>
  </r>
  <r>
    <x v="13"/>
    <x v="0"/>
    <s v="Variável"/>
    <x v="5"/>
    <s v="Viagens"/>
    <n v="-229.5"/>
    <s v="Contas à Pagar"/>
    <s v="Cartão de crédito Bradesco"/>
    <s v="Parcela 8/12"/>
    <x v="1"/>
    <x v="0"/>
  </r>
  <r>
    <x v="14"/>
    <x v="0"/>
    <s v="Variável"/>
    <x v="5"/>
    <s v="Viagens"/>
    <n v="-229.5"/>
    <s v="Contas à Pagar"/>
    <s v="Cartão de crédito Bradesco"/>
    <s v="Parcela 9/12"/>
    <x v="2"/>
    <x v="0"/>
  </r>
  <r>
    <x v="15"/>
    <x v="0"/>
    <s v="Variável"/>
    <x v="5"/>
    <s v="Viagens"/>
    <n v="-229.5"/>
    <s v="Contas à Pagar"/>
    <s v="Cartão de crédito Bradesco"/>
    <s v="Parcela 10/12"/>
    <x v="3"/>
    <x v="1"/>
  </r>
  <r>
    <x v="16"/>
    <x v="0"/>
    <s v="Variável"/>
    <x v="5"/>
    <s v="Viagens"/>
    <n v="-229.5"/>
    <s v="Contas à Pagar"/>
    <s v="Cartão de crédito Bradesco"/>
    <s v="Parcela 11/12"/>
    <x v="4"/>
    <x v="1"/>
  </r>
  <r>
    <x v="17"/>
    <x v="0"/>
    <s v="Variável"/>
    <x v="5"/>
    <s v="Viagens"/>
    <n v="-229.5"/>
    <s v="Contas à Pagar"/>
    <s v="Cartão de crédito Bradesco"/>
    <s v="Parcela 12/12"/>
    <x v="5"/>
    <x v="1"/>
  </r>
  <r>
    <x v="10"/>
    <x v="0"/>
    <s v="Variável"/>
    <x v="5"/>
    <s v="Viagens"/>
    <n v="-316.54000000000002"/>
    <s v="Contas à Pagar"/>
    <s v="Cartão de crédito Bradesco"/>
    <s v="Parcela 05/10"/>
    <x v="0"/>
    <x v="0"/>
  </r>
  <r>
    <x v="18"/>
    <x v="0"/>
    <s v="Variável"/>
    <x v="5"/>
    <s v="Viagens"/>
    <n v="-316.54000000000002"/>
    <s v="Contas à Pagar"/>
    <s v="Cartão de crédito Bradesco"/>
    <s v="Parcela 06/10"/>
    <x v="1"/>
    <x v="0"/>
  </r>
  <r>
    <x v="19"/>
    <x v="0"/>
    <s v="Variável"/>
    <x v="5"/>
    <s v="Viagens"/>
    <n v="-316.54000000000002"/>
    <s v="Contas à Pagar"/>
    <s v="Cartão de crédito Bradesco"/>
    <s v="Parcela 07/10"/>
    <x v="2"/>
    <x v="0"/>
  </r>
  <r>
    <x v="20"/>
    <x v="0"/>
    <s v="Variável"/>
    <x v="5"/>
    <s v="Viagens"/>
    <n v="-316.54000000000002"/>
    <s v="Contas à Pagar"/>
    <s v="Cartão de crédito Bradesco"/>
    <s v="Parcela 08/10"/>
    <x v="3"/>
    <x v="1"/>
  </r>
  <r>
    <x v="21"/>
    <x v="0"/>
    <s v="Variável"/>
    <x v="5"/>
    <s v="Viagens"/>
    <n v="-316.54000000000002"/>
    <s v="Contas à Pagar"/>
    <s v="Cartão de crédito Bradesco"/>
    <s v="Parcela 09/10"/>
    <x v="4"/>
    <x v="1"/>
  </r>
  <r>
    <x v="22"/>
    <x v="0"/>
    <s v="Variável"/>
    <x v="5"/>
    <s v="Viagens"/>
    <n v="-316.54000000000002"/>
    <s v="Contas à Pagar"/>
    <s v="Cartão de crédito Bradesco"/>
    <s v="Parcela 10/10"/>
    <x v="5"/>
    <x v="1"/>
  </r>
  <r>
    <x v="23"/>
    <x v="0"/>
    <s v="Variável"/>
    <x v="4"/>
    <s v="IPVA"/>
    <n v="-133.32"/>
    <s v="Contas à Pagar"/>
    <s v="Cartão de crédito Bradesco"/>
    <s v="IPVA Jeep parcela 11/12"/>
    <x v="0"/>
    <x v="0"/>
  </r>
  <r>
    <x v="24"/>
    <x v="0"/>
    <s v="Variável"/>
    <x v="4"/>
    <s v="IPVA"/>
    <n v="-133.32"/>
    <s v="Contas à Pagar"/>
    <s v="Cartão de crédito Bradesco"/>
    <s v="IPVA Jeep parcela 12/12"/>
    <x v="1"/>
    <x v="0"/>
  </r>
  <r>
    <x v="25"/>
    <x v="0"/>
    <s v="Variável"/>
    <x v="6"/>
    <s v="Utilitários"/>
    <n v="-54.72"/>
    <s v="Contas à Pagar"/>
    <s v="Cartão de crédito Bradesco"/>
    <s v="Mochila Parcela 1/7"/>
    <x v="0"/>
    <x v="0"/>
  </r>
  <r>
    <x v="26"/>
    <x v="0"/>
    <s v="Variável"/>
    <x v="6"/>
    <s v="Utilitários"/>
    <n v="-54.72"/>
    <s v="Contas à Pagar"/>
    <s v="Cartão de crédito Bradesco"/>
    <s v="Mochila Parcela 2/7"/>
    <x v="1"/>
    <x v="0"/>
  </r>
  <r>
    <x v="27"/>
    <x v="0"/>
    <s v="Variável"/>
    <x v="6"/>
    <s v="Utilitários"/>
    <n v="-54.72"/>
    <s v="Contas à Pagar"/>
    <s v="Cartão de crédito Bradesco"/>
    <s v="Mochila Parcela 3/7"/>
    <x v="2"/>
    <x v="0"/>
  </r>
  <r>
    <x v="28"/>
    <x v="0"/>
    <s v="Variável"/>
    <x v="6"/>
    <s v="Utilitários"/>
    <n v="-54.72"/>
    <s v="Contas à Pagar"/>
    <s v="Cartão de crédito Bradesco"/>
    <s v="Mochila Parcela 4/7"/>
    <x v="3"/>
    <x v="1"/>
  </r>
  <r>
    <x v="29"/>
    <x v="0"/>
    <s v="Variável"/>
    <x v="6"/>
    <s v="Utilitários"/>
    <n v="-54.72"/>
    <s v="Contas à Pagar"/>
    <s v="Cartão de crédito Bradesco"/>
    <s v="Mochila Parcela 5/7"/>
    <x v="4"/>
    <x v="1"/>
  </r>
  <r>
    <x v="30"/>
    <x v="0"/>
    <s v="Variável"/>
    <x v="6"/>
    <s v="Utilitários"/>
    <n v="-54.72"/>
    <s v="Contas à Pagar"/>
    <s v="Cartão de crédito Bradesco"/>
    <s v="Mochila Parcela 6/7"/>
    <x v="5"/>
    <x v="1"/>
  </r>
  <r>
    <x v="31"/>
    <x v="0"/>
    <s v="Variável"/>
    <x v="6"/>
    <s v="Utilitários"/>
    <n v="-54.72"/>
    <s v="Contas à Pagar"/>
    <s v="Cartão de crédito Bradesco"/>
    <s v="Mochila Parcela 7/7"/>
    <x v="6"/>
    <x v="1"/>
  </r>
  <r>
    <x v="32"/>
    <x v="0"/>
    <s v="Variável"/>
    <x v="6"/>
    <s v="Eletrônicos"/>
    <n v="-305.64"/>
    <s v="Contas à Pagar"/>
    <s v="Cartão de crédito Bradesco"/>
    <s v="Galaxy Fit 3"/>
    <x v="0"/>
    <x v="0"/>
  </r>
  <r>
    <x v="32"/>
    <x v="0"/>
    <s v="Variável"/>
    <x v="6"/>
    <s v="Eletrônicos"/>
    <n v="-0.23"/>
    <s v="Contas à Pagar"/>
    <s v="Cartão de crédito Bradesco"/>
    <s v="Custo transação no exterior"/>
    <x v="0"/>
    <x v="0"/>
  </r>
  <r>
    <x v="32"/>
    <x v="0"/>
    <s v="Variável"/>
    <x v="6"/>
    <s v="Eletrônicos"/>
    <n v="-10.7"/>
    <s v="Contas à Pagar"/>
    <s v="Cartão de crédito Bradesco"/>
    <s v="Custo transação no exterior"/>
    <x v="0"/>
    <x v="0"/>
  </r>
  <r>
    <x v="33"/>
    <x v="0"/>
    <s v="Variável"/>
    <x v="7"/>
    <s v="Delivery"/>
    <n v="-57.87"/>
    <s v="Contas à Pagar"/>
    <s v="Cartão de crédito Nubank"/>
    <m/>
    <x v="1"/>
    <x v="0"/>
  </r>
  <r>
    <x v="34"/>
    <x v="0"/>
    <s v="Variável"/>
    <x v="7"/>
    <s v="Delivery"/>
    <n v="-214"/>
    <s v="Contas à Pagar"/>
    <s v="Cartão de crédito Nubank"/>
    <s v="Pizza despedida de solteiro Pedro"/>
    <x v="1"/>
    <x v="0"/>
  </r>
  <r>
    <x v="34"/>
    <x v="0"/>
    <s v="Variável"/>
    <x v="7"/>
    <s v="Delivery"/>
    <n v="35"/>
    <s v="Conta Corrente"/>
    <s v="Nubank"/>
    <s v="Parte pizza Eduardo"/>
    <x v="1"/>
    <x v="0"/>
  </r>
  <r>
    <x v="34"/>
    <x v="0"/>
    <s v="Variável"/>
    <x v="7"/>
    <s v="Delivery"/>
    <n v="45"/>
    <s v="Conta Corrente"/>
    <s v="Nubank"/>
    <s v="Parte pizza Pai"/>
    <x v="1"/>
    <x v="0"/>
  </r>
  <r>
    <x v="34"/>
    <x v="0"/>
    <s v="Variável"/>
    <x v="7"/>
    <s v="Delivery"/>
    <n v="34"/>
    <s v="Conta Corrente"/>
    <s v="Nubank"/>
    <s v="Parte pizza Digo"/>
    <x v="1"/>
    <x v="0"/>
  </r>
  <r>
    <x v="35"/>
    <x v="0"/>
    <s v="Variável"/>
    <x v="7"/>
    <s v="Farmácia"/>
    <n v="-32.15"/>
    <s v="Contas à Pagar"/>
    <s v="Cartão de crédito Bradesco"/>
    <m/>
    <x v="0"/>
    <x v="0"/>
  </r>
  <r>
    <x v="36"/>
    <x v="0"/>
    <s v="Variável"/>
    <x v="7"/>
    <s v="Farmácia"/>
    <n v="-144.51"/>
    <s v="Contas à Pagar"/>
    <s v="Cartão de crédito Nubank"/>
    <m/>
    <x v="1"/>
    <x v="0"/>
  </r>
  <r>
    <x v="11"/>
    <x v="0"/>
    <s v="Variável"/>
    <x v="7"/>
    <s v="Lanchonete"/>
    <n v="-16.989999999999998"/>
    <s v="Contas à Pagar"/>
    <s v="Cartão de crédito Bradesco"/>
    <m/>
    <x v="0"/>
    <x v="0"/>
  </r>
  <r>
    <x v="10"/>
    <x v="0"/>
    <s v="Variável"/>
    <x v="7"/>
    <s v="Mercado"/>
    <n v="-40.53"/>
    <s v="Contas à Pagar"/>
    <s v="Cartão de crédito Bradesco"/>
    <m/>
    <x v="0"/>
    <x v="0"/>
  </r>
  <r>
    <x v="4"/>
    <x v="0"/>
    <s v="Variável"/>
    <x v="7"/>
    <s v="Mercado"/>
    <n v="-15.8"/>
    <s v="Contas à Pagar"/>
    <s v="Cartão de crédito Bradesco"/>
    <m/>
    <x v="0"/>
    <x v="0"/>
  </r>
  <r>
    <x v="1"/>
    <x v="0"/>
    <s v="Variável"/>
    <x v="7"/>
    <s v="Mercado"/>
    <n v="-18.989999999999998"/>
    <s v="Contas à Pagar"/>
    <s v="Cartão de crédito Bradesco"/>
    <m/>
    <x v="0"/>
    <x v="0"/>
  </r>
  <r>
    <x v="1"/>
    <x v="0"/>
    <s v="Variável"/>
    <x v="7"/>
    <s v="Mercado"/>
    <n v="-41.94"/>
    <s v="Contas à Pagar"/>
    <s v="Cartão de crédito Bradesco"/>
    <m/>
    <x v="0"/>
    <x v="0"/>
  </r>
  <r>
    <x v="6"/>
    <x v="0"/>
    <s v="Variável"/>
    <x v="7"/>
    <s v="Mercado"/>
    <n v="-12.99"/>
    <s v="Contas à Pagar"/>
    <s v="Cartão de crédito Bradesco"/>
    <m/>
    <x v="0"/>
    <x v="0"/>
  </r>
  <r>
    <x v="37"/>
    <x v="0"/>
    <s v="Variável"/>
    <x v="7"/>
    <s v="Mercado"/>
    <n v="-6.99"/>
    <s v="Contas à Pagar"/>
    <s v="Cartão de crédito Bradesco"/>
    <m/>
    <x v="0"/>
    <x v="0"/>
  </r>
  <r>
    <x v="32"/>
    <x v="0"/>
    <s v="Variável"/>
    <x v="7"/>
    <s v="Mercado"/>
    <n v="-6.68"/>
    <s v="Contas à Pagar"/>
    <s v="Cartão de crédito Bradesco"/>
    <s v="Alfajor Paraguay"/>
    <x v="0"/>
    <x v="0"/>
  </r>
  <r>
    <x v="24"/>
    <x v="0"/>
    <s v="Variável"/>
    <x v="7"/>
    <s v="Mercado"/>
    <n v="-12"/>
    <s v="Contas à Pagar"/>
    <s v="Cartão de crédito Nubank"/>
    <s v="Coca-cola"/>
    <x v="1"/>
    <x v="0"/>
  </r>
  <r>
    <x v="36"/>
    <x v="0"/>
    <s v="Variável"/>
    <x v="7"/>
    <s v="Mercado"/>
    <n v="-13"/>
    <s v="Contas à Pagar"/>
    <s v="Cartão de crédito Nubank"/>
    <m/>
    <x v="1"/>
    <x v="0"/>
  </r>
  <r>
    <x v="2"/>
    <x v="0"/>
    <s v="Variável"/>
    <x v="7"/>
    <s v="Mercado"/>
    <n v="-13.99"/>
    <s v="Contas à Pagar"/>
    <s v="Cartão de crédito Nubank"/>
    <m/>
    <x v="1"/>
    <x v="0"/>
  </r>
  <r>
    <x v="7"/>
    <x v="0"/>
    <s v="Variável"/>
    <x v="7"/>
    <s v="Mercado"/>
    <n v="-12.37"/>
    <s v="Contas à Pagar"/>
    <s v="Cartão de crédito Nubank"/>
    <m/>
    <x v="1"/>
    <x v="0"/>
  </r>
  <r>
    <x v="25"/>
    <x v="0"/>
    <s v="Variável"/>
    <x v="1"/>
    <s v="Aulas"/>
    <n v="-30.97"/>
    <s v="Contas à Pagar"/>
    <s v="Cartão de crédito Bradesco"/>
    <s v="Aula Espanhol - Valor da aula"/>
    <x v="0"/>
    <x v="0"/>
  </r>
  <r>
    <x v="25"/>
    <x v="0"/>
    <s v="Variável"/>
    <x v="1"/>
    <s v="Aulas"/>
    <n v="-1.08"/>
    <s v="Contas à Pagar"/>
    <s v="Cartão de crédito Bradesco"/>
    <s v="Aula Espanhol - Taxas de cambio"/>
    <x v="0"/>
    <x v="0"/>
  </r>
  <r>
    <x v="38"/>
    <x v="0"/>
    <s v="Variável"/>
    <x v="1"/>
    <s v="Livros"/>
    <n v="-71.62"/>
    <s v="Contas à Pagar"/>
    <s v="Cartão de crédito Nubank"/>
    <s v="Data Science do Zero"/>
    <x v="1"/>
    <x v="0"/>
  </r>
  <r>
    <x v="3"/>
    <x v="0"/>
    <s v="Variável"/>
    <x v="5"/>
    <s v="Futebol"/>
    <n v="-10"/>
    <s v="Conta Corrente"/>
    <s v="Nubank"/>
    <m/>
    <x v="0"/>
    <x v="0"/>
  </r>
  <r>
    <x v="39"/>
    <x v="0"/>
    <s v="Variável"/>
    <x v="5"/>
    <s v="Futebol"/>
    <n v="-10"/>
    <s v="Conta Corrente"/>
    <s v="Nubank"/>
    <m/>
    <x v="1"/>
    <x v="0"/>
  </r>
  <r>
    <x v="35"/>
    <x v="0"/>
    <s v="Variável"/>
    <x v="5"/>
    <s v="Jogos"/>
    <n v="-62.15"/>
    <s v="Contas à Pagar"/>
    <s v="Cartão de crédito Bradesco"/>
    <m/>
    <x v="0"/>
    <x v="0"/>
  </r>
  <r>
    <x v="5"/>
    <x v="0"/>
    <s v="Variável"/>
    <x v="5"/>
    <s v="Jogos"/>
    <n v="-14.87"/>
    <s v="Contas à Pagar"/>
    <s v="Cartão de crédito Nubank"/>
    <m/>
    <x v="1"/>
    <x v="0"/>
  </r>
  <r>
    <x v="40"/>
    <x v="0"/>
    <s v="Variável"/>
    <x v="5"/>
    <s v="Outros"/>
    <n v="-29.84"/>
    <s v="Contas à Pagar"/>
    <s v="Cartão de crédito Nubank"/>
    <m/>
    <x v="1"/>
    <x v="0"/>
  </r>
  <r>
    <x v="39"/>
    <x v="0"/>
    <s v="Variável"/>
    <x v="5"/>
    <s v="Outros"/>
    <n v="-35.71"/>
    <s v="Contas à Pagar"/>
    <s v="Cartão de crédito Nubank"/>
    <m/>
    <x v="1"/>
    <x v="0"/>
  </r>
  <r>
    <x v="36"/>
    <x v="0"/>
    <s v="Variável"/>
    <x v="8"/>
    <s v="Presentes"/>
    <n v="-55.73"/>
    <s v="Conta Corrente"/>
    <s v="Nubank"/>
    <m/>
    <x v="1"/>
    <x v="0"/>
  </r>
  <r>
    <x v="41"/>
    <x v="0"/>
    <s v="Variável"/>
    <x v="8"/>
    <s v="Veterinário"/>
    <n v="-366"/>
    <s v="Contas à Pagar"/>
    <s v="Cartão de crédito Bradesco"/>
    <m/>
    <x v="0"/>
    <x v="0"/>
  </r>
  <r>
    <x v="26"/>
    <x v="0"/>
    <s v="Variável"/>
    <x v="3"/>
    <s v="Internet"/>
    <n v="-122.72"/>
    <s v="Conta Corrente"/>
    <s v="Nubank"/>
    <m/>
    <x v="1"/>
    <x v="0"/>
  </r>
  <r>
    <x v="42"/>
    <x v="0"/>
    <s v="Variável"/>
    <x v="6"/>
    <s v="Roupas e Calçados"/>
    <n v="-181.96"/>
    <s v="Contas à Pagar"/>
    <s v="Cartão de crédito Nubank"/>
    <s v="Camisa para o casamento da Gabi"/>
    <x v="1"/>
    <x v="0"/>
  </r>
  <r>
    <x v="7"/>
    <x v="0"/>
    <s v="Fixo"/>
    <x v="3"/>
    <s v="Plano Telefônico"/>
    <n v="-54"/>
    <s v="Contas à Pagar"/>
    <s v="Cartão de crédito Nubank"/>
    <m/>
    <x v="1"/>
    <x v="0"/>
  </r>
  <r>
    <x v="7"/>
    <x v="0"/>
    <s v="Variável"/>
    <x v="7"/>
    <s v="Mercado"/>
    <n v="-12.37"/>
    <s v="Contas à Pagar"/>
    <s v="Cartão de crédito Nubank"/>
    <m/>
    <x v="1"/>
    <x v="0"/>
  </r>
  <r>
    <x v="38"/>
    <x v="0"/>
    <s v="Variável"/>
    <x v="1"/>
    <s v="Livros"/>
    <n v="-71.62"/>
    <s v="Contas à Pagar"/>
    <s v="Cartão de crédito Nubank"/>
    <m/>
    <x v="1"/>
    <x v="0"/>
  </r>
  <r>
    <x v="43"/>
    <x v="0"/>
    <s v="Fixo"/>
    <x v="0"/>
    <s v="Corte de Cabelo"/>
    <n v="-114"/>
    <s v="Contas à Pagar"/>
    <s v="Cartão de crédito Nubank"/>
    <m/>
    <x v="1"/>
    <x v="0"/>
  </r>
  <r>
    <x v="44"/>
    <x v="0"/>
    <s v="Variável"/>
    <x v="5"/>
    <s v="Rolês"/>
    <n v="-39"/>
    <s v="Contas à Pagar"/>
    <s v="Cartão de crédito Nubank"/>
    <m/>
    <x v="1"/>
    <x v="0"/>
  </r>
  <r>
    <x v="45"/>
    <x v="0"/>
    <s v="Variável"/>
    <x v="7"/>
    <s v="Mercado"/>
    <n v="-9.89"/>
    <s v="Contas à Pagar"/>
    <s v="Cartão de crédito Nubank"/>
    <m/>
    <x v="1"/>
    <x v="0"/>
  </r>
  <r>
    <x v="45"/>
    <x v="0"/>
    <s v="Variável"/>
    <x v="5"/>
    <s v="Rolês"/>
    <n v="-50"/>
    <s v="Contas à Pagar"/>
    <s v="Cartão de crédito Nubank"/>
    <s v="Role após o casamento da Gabi"/>
    <x v="1"/>
    <x v="0"/>
  </r>
  <r>
    <x v="46"/>
    <x v="0"/>
    <s v="Fixo"/>
    <x v="4"/>
    <s v="Combustível"/>
    <n v="-144.97"/>
    <s v="Contas à Pagar"/>
    <s v="Cartão de crédito Nubank"/>
    <m/>
    <x v="1"/>
    <x v="0"/>
  </r>
  <r>
    <x v="46"/>
    <x v="0"/>
    <s v="Variável"/>
    <x v="7"/>
    <s v="Mercado"/>
    <n v="-49.46"/>
    <s v="Contas à Pagar"/>
    <s v="Cartão de crédito Nubank"/>
    <m/>
    <x v="1"/>
    <x v="0"/>
  </r>
  <r>
    <x v="13"/>
    <x v="1"/>
    <s v="Fixo"/>
    <x v="2"/>
    <s v="Salário"/>
    <n v="4733"/>
    <s v="Conta Corrente"/>
    <s v="Nubank"/>
    <m/>
    <x v="1"/>
    <x v="0"/>
  </r>
  <r>
    <x v="13"/>
    <x v="1"/>
    <s v="Fixo"/>
    <x v="2"/>
    <s v="Salário"/>
    <n v="3071.41"/>
    <s v="Conta Corrente"/>
    <s v="Nubank"/>
    <m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Resumo" cacheId="8" applyNumberFormats="0" applyBorderFormats="0" applyFontFormats="0" applyPatternFormats="0" applyAlignmentFormats="0" applyWidthHeightFormats="0" dataCaption="" updatedVersion="8" colGrandTotals="0" compact="0" compactData="0">
  <location ref="A3:I17" firstHeaderRow="1" firstDataRow="3" firstDataCol="2" rowPageCount="1" colPageCount="1"/>
  <pivotFields count="11">
    <pivotField name="Data" axis="axisPage" compact="0" numFmtId="14" outline="0" multipleItemSelectionAllowed="1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h="1" x="43"/>
        <item h="1" x="44"/>
        <item h="1" x="45"/>
        <item h="1" x="46"/>
        <item t="default"/>
      </items>
    </pivotField>
    <pivotField name="Rec/Des" axis="axisRow" compact="0" outline="0" multipleItemSelectionAllowed="1" showAll="0" sortType="descending">
      <items count="3">
        <item x="1"/>
        <item x="0"/>
        <item t="default"/>
      </items>
    </pivotField>
    <pivotField name="Tipo" compact="0" outline="0" multipleItemSelectionAllowed="1" showAll="0"/>
    <pivotField name="Categoria" axis="axisRow" compact="0" outline="0" multipleItemSelectionAllowed="1" showAll="0" sortType="ascending">
      <items count="10">
        <item x="6"/>
        <item x="7"/>
        <item x="0"/>
        <item x="1"/>
        <item x="5"/>
        <item x="8"/>
        <item x="2"/>
        <item x="3"/>
        <item x="4"/>
        <item t="default"/>
      </items>
    </pivotField>
    <pivotField name="Subcategoria" compact="0" outline="0" multipleItemSelectionAllowed="1" showAll="0"/>
    <pivotField name="Valor" dataField="1" compact="0" numFmtId="164" outline="0" multipleItemSelectionAllowed="1" showAll="0"/>
    <pivotField name="Conta" compact="0" outline="0" multipleItemSelectionAllowed="1" showAll="0"/>
    <pivotField name="Subconta" compact="0" outline="0" multipleItemSelectionAllowed="1" showAll="0"/>
    <pivotField name="Descrição" compact="0" outline="0" multipleItemSelectionAllowed="1" showAll="0"/>
    <pivotField name="Mês" axis="axisCol" compact="0" outline="0" multipleItemSelectionAllowed="1" showAll="0" sortType="ascending">
      <items count="8">
        <item x="3"/>
        <item x="4"/>
        <item x="5"/>
        <item x="6"/>
        <item x="0"/>
        <item x="1"/>
        <item x="2"/>
        <item t="default"/>
      </items>
    </pivotField>
    <pivotField name="Ano" axis="axisCol" compact="0" outline="0" multipleItemSelectionAllowed="1" showAll="0" sortType="ascending" defaultSubtotal="0">
      <items count="2">
        <item x="0"/>
        <item x="1"/>
      </items>
    </pivotField>
  </pivotFields>
  <rowFields count="2">
    <field x="1"/>
    <field x="3"/>
  </rowFields>
  <rowItems count="12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t="default">
      <x v="1"/>
    </i>
    <i t="grand">
      <x/>
    </i>
  </rowItems>
  <colFields count="2">
    <field x="10"/>
    <field x="9"/>
  </colFields>
  <colItems count="7">
    <i>
      <x/>
      <x v="4"/>
    </i>
    <i r="1">
      <x v="5"/>
    </i>
    <i r="1">
      <x v="6"/>
    </i>
    <i>
      <x v="1"/>
      <x/>
    </i>
    <i r="1">
      <x v="1"/>
    </i>
    <i r="1">
      <x v="2"/>
    </i>
    <i r="1">
      <x v="3"/>
    </i>
  </colItems>
  <pageFields count="1">
    <pageField fld="0" hier="0"/>
  </pageFields>
  <dataFields count="1">
    <dataField name="SUM of Valo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base" displayName="Database" ref="A1:K84">
  <autoFilter ref="A1:K84" xr:uid="{00000000-0009-0000-0100-000001000000}">
    <filterColumn colId="3">
      <filters>
        <filter val="Consumo"/>
        <filter val="Outros"/>
        <filter val="Salário"/>
      </filters>
    </filterColumn>
  </autoFilter>
  <tableColumns count="11">
    <tableColumn id="1" xr3:uid="{00000000-0010-0000-0000-000001000000}" name="Data"/>
    <tableColumn id="2" xr3:uid="{00000000-0010-0000-0000-000002000000}" name="Rec/Des"/>
    <tableColumn id="3" xr3:uid="{00000000-0010-0000-0000-000003000000}" name="Tipo"/>
    <tableColumn id="4" xr3:uid="{00000000-0010-0000-0000-000004000000}" name="Categoria"/>
    <tableColumn id="5" xr3:uid="{00000000-0010-0000-0000-000005000000}" name="Subcategoria"/>
    <tableColumn id="6" xr3:uid="{00000000-0010-0000-0000-000006000000}" name="Valor"/>
    <tableColumn id="7" xr3:uid="{00000000-0010-0000-0000-000007000000}" name="Conta"/>
    <tableColumn id="8" xr3:uid="{00000000-0010-0000-0000-000008000000}" name="Subconta"/>
    <tableColumn id="9" xr3:uid="{00000000-0010-0000-0000-000009000000}" name="Descrição"/>
    <tableColumn id="10" xr3:uid="{00000000-0010-0000-0000-00000A000000}" name="Mês"/>
    <tableColumn id="11" xr3:uid="{00000000-0010-0000-0000-00000B000000}" name="Ano"/>
  </tableColumns>
  <tableStyleInfo name="Databa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5.85546875" customWidth="1"/>
    <col min="2" max="2" width="17.42578125" customWidth="1"/>
    <col min="3" max="3" width="14.85546875" customWidth="1"/>
    <col min="4" max="4" width="26.42578125" customWidth="1"/>
    <col min="5" max="5" width="29.42578125" customWidth="1"/>
    <col min="6" max="6" width="15.85546875" customWidth="1"/>
    <col min="7" max="7" width="21" customWidth="1"/>
    <col min="8" max="8" width="26.140625" customWidth="1"/>
    <col min="9" max="9" width="33.7109375" customWidth="1"/>
  </cols>
  <sheetData>
    <row r="1" spans="1:1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hidden="1" customHeight="1" x14ac:dyDescent="0.2">
      <c r="A2" s="2">
        <v>45938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-100</v>
      </c>
      <c r="G2" s="3" t="s">
        <v>15</v>
      </c>
      <c r="H2" s="3" t="s">
        <v>16</v>
      </c>
      <c r="J2" s="3">
        <f t="shared" ref="J2:J84" si="0">MONTH(A2)</f>
        <v>10</v>
      </c>
      <c r="K2" s="3">
        <f t="shared" ref="K2:K84" si="1">YEAR(A2)</f>
        <v>2025</v>
      </c>
    </row>
    <row r="3" spans="1:11" ht="22.5" hidden="1" customHeight="1" x14ac:dyDescent="0.2">
      <c r="A3" s="5">
        <v>45940</v>
      </c>
      <c r="B3" s="3" t="s">
        <v>11</v>
      </c>
      <c r="C3" s="3" t="s">
        <v>12</v>
      </c>
      <c r="D3" s="3" t="s">
        <v>17</v>
      </c>
      <c r="E3" s="3" t="s">
        <v>18</v>
      </c>
      <c r="F3" s="4">
        <v>-508.09</v>
      </c>
      <c r="G3" s="3" t="s">
        <v>15</v>
      </c>
      <c r="H3" s="3" t="s">
        <v>19</v>
      </c>
      <c r="I3" s="3" t="s">
        <v>20</v>
      </c>
      <c r="J3" s="3">
        <f t="shared" si="0"/>
        <v>10</v>
      </c>
      <c r="K3" s="3">
        <f t="shared" si="1"/>
        <v>2025</v>
      </c>
    </row>
    <row r="4" spans="1:11" ht="22.5" hidden="1" customHeight="1" x14ac:dyDescent="0.2">
      <c r="A4" s="2">
        <v>45971</v>
      </c>
      <c r="B4" s="3" t="s">
        <v>11</v>
      </c>
      <c r="C4" s="3" t="s">
        <v>12</v>
      </c>
      <c r="D4" s="3" t="s">
        <v>17</v>
      </c>
      <c r="E4" s="3" t="s">
        <v>18</v>
      </c>
      <c r="F4" s="4">
        <v>-508.09</v>
      </c>
      <c r="G4" s="3" t="s">
        <v>15</v>
      </c>
      <c r="H4" s="3" t="s">
        <v>19</v>
      </c>
      <c r="I4" s="3" t="s">
        <v>20</v>
      </c>
      <c r="J4" s="3">
        <f t="shared" si="0"/>
        <v>11</v>
      </c>
      <c r="K4" s="3">
        <f t="shared" si="1"/>
        <v>2025</v>
      </c>
    </row>
    <row r="5" spans="1:11" ht="22.5" customHeight="1" x14ac:dyDescent="0.2">
      <c r="A5" s="5">
        <v>45960</v>
      </c>
      <c r="B5" s="3" t="s">
        <v>21</v>
      </c>
      <c r="C5" s="3" t="s">
        <v>12</v>
      </c>
      <c r="D5" s="3" t="s">
        <v>22</v>
      </c>
      <c r="E5" s="3" t="s">
        <v>22</v>
      </c>
      <c r="F5" s="4">
        <v>4808.8999999999996</v>
      </c>
      <c r="G5" s="3" t="s">
        <v>23</v>
      </c>
      <c r="H5" s="3" t="s">
        <v>24</v>
      </c>
      <c r="J5" s="3">
        <f t="shared" si="0"/>
        <v>10</v>
      </c>
      <c r="K5" s="3">
        <f t="shared" si="1"/>
        <v>2025</v>
      </c>
    </row>
    <row r="6" spans="1:11" ht="22.5" hidden="1" customHeight="1" x14ac:dyDescent="0.2">
      <c r="A6" s="2">
        <v>45936</v>
      </c>
      <c r="B6" s="3" t="s">
        <v>11</v>
      </c>
      <c r="C6" s="3" t="s">
        <v>12</v>
      </c>
      <c r="D6" s="3" t="s">
        <v>25</v>
      </c>
      <c r="E6" s="3" t="s">
        <v>26</v>
      </c>
      <c r="F6" s="4">
        <v>-4.5</v>
      </c>
      <c r="G6" s="3" t="s">
        <v>15</v>
      </c>
      <c r="H6" s="3" t="s">
        <v>19</v>
      </c>
      <c r="J6" s="3">
        <f t="shared" si="0"/>
        <v>10</v>
      </c>
      <c r="K6" s="3">
        <f t="shared" si="1"/>
        <v>2025</v>
      </c>
    </row>
    <row r="7" spans="1:11" ht="22.5" hidden="1" customHeight="1" x14ac:dyDescent="0.2">
      <c r="A7" s="2">
        <v>45967</v>
      </c>
      <c r="B7" s="3" t="s">
        <v>11</v>
      </c>
      <c r="C7" s="3" t="s">
        <v>12</v>
      </c>
      <c r="D7" s="3" t="s">
        <v>25</v>
      </c>
      <c r="E7" s="3" t="s">
        <v>26</v>
      </c>
      <c r="F7" s="4">
        <v>-4.5</v>
      </c>
      <c r="G7" s="3" t="s">
        <v>15</v>
      </c>
      <c r="H7" s="3" t="s">
        <v>19</v>
      </c>
      <c r="I7" s="3"/>
      <c r="J7" s="3">
        <f t="shared" si="0"/>
        <v>11</v>
      </c>
      <c r="K7" s="3">
        <f t="shared" si="1"/>
        <v>2025</v>
      </c>
    </row>
    <row r="8" spans="1:11" ht="22.5" hidden="1" customHeight="1" x14ac:dyDescent="0.2">
      <c r="A8" s="2">
        <v>45938</v>
      </c>
      <c r="B8" s="3" t="s">
        <v>11</v>
      </c>
      <c r="C8" s="3" t="s">
        <v>12</v>
      </c>
      <c r="D8" s="3" t="s">
        <v>25</v>
      </c>
      <c r="E8" s="3" t="s">
        <v>27</v>
      </c>
      <c r="F8" s="4">
        <v>-599</v>
      </c>
      <c r="G8" s="3" t="s">
        <v>15</v>
      </c>
      <c r="H8" s="3" t="s">
        <v>16</v>
      </c>
      <c r="J8" s="3">
        <f t="shared" si="0"/>
        <v>10</v>
      </c>
      <c r="K8" s="3">
        <f t="shared" si="1"/>
        <v>2025</v>
      </c>
    </row>
    <row r="9" spans="1:11" ht="22.5" hidden="1" customHeight="1" x14ac:dyDescent="0.2">
      <c r="A9" s="5">
        <v>45947</v>
      </c>
      <c r="B9" s="3" t="s">
        <v>11</v>
      </c>
      <c r="C9" s="3" t="s">
        <v>12</v>
      </c>
      <c r="D9" s="3" t="s">
        <v>25</v>
      </c>
      <c r="E9" s="3" t="s">
        <v>28</v>
      </c>
      <c r="F9" s="4">
        <v>-54</v>
      </c>
      <c r="G9" s="3" t="s">
        <v>15</v>
      </c>
      <c r="H9" s="3" t="s">
        <v>19</v>
      </c>
      <c r="J9" s="3">
        <f t="shared" si="0"/>
        <v>10</v>
      </c>
      <c r="K9" s="3">
        <f t="shared" si="1"/>
        <v>2025</v>
      </c>
    </row>
    <row r="10" spans="1:11" ht="22.5" hidden="1" customHeight="1" x14ac:dyDescent="0.2">
      <c r="A10" s="2">
        <v>45978</v>
      </c>
      <c r="B10" s="3" t="s">
        <v>11</v>
      </c>
      <c r="C10" s="3" t="s">
        <v>12</v>
      </c>
      <c r="D10" s="3" t="s">
        <v>25</v>
      </c>
      <c r="E10" s="3" t="s">
        <v>28</v>
      </c>
      <c r="F10" s="4">
        <v>-54</v>
      </c>
      <c r="G10" s="3" t="s">
        <v>15</v>
      </c>
      <c r="H10" s="3" t="s">
        <v>19</v>
      </c>
      <c r="I10" s="3"/>
      <c r="J10" s="3">
        <f t="shared" si="0"/>
        <v>11</v>
      </c>
      <c r="K10" s="3">
        <f t="shared" si="1"/>
        <v>2025</v>
      </c>
    </row>
    <row r="11" spans="1:11" ht="22.5" hidden="1" customHeight="1" x14ac:dyDescent="0.2">
      <c r="A11" s="5">
        <v>45942</v>
      </c>
      <c r="B11" s="3" t="s">
        <v>11</v>
      </c>
      <c r="C11" s="3" t="s">
        <v>12</v>
      </c>
      <c r="D11" s="3" t="s">
        <v>25</v>
      </c>
      <c r="E11" s="3" t="s">
        <v>29</v>
      </c>
      <c r="F11" s="4">
        <v>-40.9</v>
      </c>
      <c r="G11" s="3" t="s">
        <v>15</v>
      </c>
      <c r="H11" s="3" t="s">
        <v>19</v>
      </c>
      <c r="J11" s="3">
        <f t="shared" si="0"/>
        <v>10</v>
      </c>
      <c r="K11" s="3">
        <f t="shared" si="1"/>
        <v>2025</v>
      </c>
    </row>
    <row r="12" spans="1:11" ht="22.5" hidden="1" customHeight="1" x14ac:dyDescent="0.2">
      <c r="A12" s="2">
        <v>45972</v>
      </c>
      <c r="B12" s="3" t="s">
        <v>11</v>
      </c>
      <c r="C12" s="3" t="s">
        <v>12</v>
      </c>
      <c r="D12" s="3" t="s">
        <v>25</v>
      </c>
      <c r="E12" s="3" t="s">
        <v>29</v>
      </c>
      <c r="F12" s="4">
        <v>-40.9</v>
      </c>
      <c r="G12" s="3" t="s">
        <v>15</v>
      </c>
      <c r="H12" s="3" t="s">
        <v>19</v>
      </c>
      <c r="I12" s="3"/>
      <c r="J12" s="3">
        <f t="shared" si="0"/>
        <v>11</v>
      </c>
      <c r="K12" s="3">
        <f t="shared" si="1"/>
        <v>2025</v>
      </c>
    </row>
    <row r="13" spans="1:11" ht="22.5" hidden="1" customHeight="1" x14ac:dyDescent="0.2">
      <c r="A13" s="2">
        <v>45934</v>
      </c>
      <c r="B13" s="3" t="s">
        <v>11</v>
      </c>
      <c r="C13" s="3" t="s">
        <v>12</v>
      </c>
      <c r="D13" s="3" t="s">
        <v>30</v>
      </c>
      <c r="E13" s="3" t="s">
        <v>31</v>
      </c>
      <c r="F13" s="4">
        <v>-50</v>
      </c>
      <c r="G13" s="3" t="s">
        <v>15</v>
      </c>
      <c r="H13" s="3" t="s">
        <v>16</v>
      </c>
      <c r="J13" s="3">
        <f t="shared" si="0"/>
        <v>10</v>
      </c>
      <c r="K13" s="3">
        <f t="shared" si="1"/>
        <v>2025</v>
      </c>
    </row>
    <row r="14" spans="1:11" ht="22.5" hidden="1" customHeight="1" x14ac:dyDescent="0.2">
      <c r="A14" s="5">
        <v>45940</v>
      </c>
      <c r="B14" s="3" t="s">
        <v>11</v>
      </c>
      <c r="C14" s="3" t="s">
        <v>12</v>
      </c>
      <c r="D14" s="3" t="s">
        <v>30</v>
      </c>
      <c r="E14" s="3" t="s">
        <v>31</v>
      </c>
      <c r="F14" s="4">
        <v>-131.05000000000001</v>
      </c>
      <c r="G14" s="3" t="s">
        <v>15</v>
      </c>
      <c r="H14" s="3" t="s">
        <v>16</v>
      </c>
      <c r="J14" s="3">
        <f t="shared" si="0"/>
        <v>10</v>
      </c>
      <c r="K14" s="3">
        <f t="shared" si="1"/>
        <v>2025</v>
      </c>
    </row>
    <row r="15" spans="1:11" ht="22.5" hidden="1" customHeight="1" x14ac:dyDescent="0.2">
      <c r="A15" s="5">
        <v>45949</v>
      </c>
      <c r="B15" s="3" t="s">
        <v>11</v>
      </c>
      <c r="C15" s="3" t="s">
        <v>12</v>
      </c>
      <c r="D15" s="3" t="s">
        <v>30</v>
      </c>
      <c r="E15" s="3" t="s">
        <v>31</v>
      </c>
      <c r="F15" s="4">
        <v>-50</v>
      </c>
      <c r="G15" s="3" t="s">
        <v>15</v>
      </c>
      <c r="H15" s="3" t="s">
        <v>16</v>
      </c>
      <c r="J15" s="3">
        <f t="shared" si="0"/>
        <v>10</v>
      </c>
      <c r="K15" s="3">
        <f t="shared" si="1"/>
        <v>2025</v>
      </c>
    </row>
    <row r="16" spans="1:11" ht="22.5" hidden="1" customHeight="1" x14ac:dyDescent="0.2">
      <c r="A16" s="5">
        <v>45960</v>
      </c>
      <c r="B16" s="3" t="s">
        <v>11</v>
      </c>
      <c r="C16" s="3" t="s">
        <v>12</v>
      </c>
      <c r="D16" s="3" t="s">
        <v>30</v>
      </c>
      <c r="E16" s="3" t="s">
        <v>31</v>
      </c>
      <c r="F16" s="4">
        <v>-177</v>
      </c>
      <c r="G16" s="3" t="s">
        <v>23</v>
      </c>
      <c r="H16" s="3" t="s">
        <v>24</v>
      </c>
      <c r="J16" s="3">
        <f t="shared" si="0"/>
        <v>10</v>
      </c>
      <c r="K16" s="3">
        <f t="shared" si="1"/>
        <v>2025</v>
      </c>
    </row>
    <row r="17" spans="1:11" ht="22.5" hidden="1" customHeight="1" x14ac:dyDescent="0.2">
      <c r="A17" s="2">
        <v>45972</v>
      </c>
      <c r="B17" s="3" t="s">
        <v>11</v>
      </c>
      <c r="C17" s="3" t="s">
        <v>12</v>
      </c>
      <c r="D17" s="3" t="s">
        <v>30</v>
      </c>
      <c r="E17" s="3" t="s">
        <v>31</v>
      </c>
      <c r="F17" s="4">
        <v>-110.67</v>
      </c>
      <c r="G17" s="3" t="s">
        <v>15</v>
      </c>
      <c r="H17" s="3" t="s">
        <v>19</v>
      </c>
      <c r="I17" s="3"/>
      <c r="J17" s="3">
        <f t="shared" si="0"/>
        <v>11</v>
      </c>
      <c r="K17" s="3">
        <f t="shared" si="1"/>
        <v>2025</v>
      </c>
    </row>
    <row r="18" spans="1:11" ht="22.5" hidden="1" customHeight="1" x14ac:dyDescent="0.2">
      <c r="A18" s="5">
        <v>45957</v>
      </c>
      <c r="B18" s="3" t="s">
        <v>11</v>
      </c>
      <c r="C18" s="3" t="s">
        <v>32</v>
      </c>
      <c r="D18" s="3" t="s">
        <v>33</v>
      </c>
      <c r="E18" s="3" t="s">
        <v>34</v>
      </c>
      <c r="F18" s="4">
        <v>-229.5</v>
      </c>
      <c r="G18" s="3" t="s">
        <v>15</v>
      </c>
      <c r="H18" s="3" t="s">
        <v>16</v>
      </c>
      <c r="I18" s="3" t="s">
        <v>35</v>
      </c>
      <c r="J18" s="3">
        <f t="shared" si="0"/>
        <v>10</v>
      </c>
      <c r="K18" s="3">
        <f t="shared" si="1"/>
        <v>2025</v>
      </c>
    </row>
    <row r="19" spans="1:11" ht="22.5" hidden="1" customHeight="1" x14ac:dyDescent="0.2">
      <c r="A19" s="5">
        <v>45988</v>
      </c>
      <c r="B19" s="3" t="s">
        <v>11</v>
      </c>
      <c r="C19" s="3" t="s">
        <v>32</v>
      </c>
      <c r="D19" s="3" t="s">
        <v>33</v>
      </c>
      <c r="E19" s="3" t="s">
        <v>34</v>
      </c>
      <c r="F19" s="4">
        <v>-229.5</v>
      </c>
      <c r="G19" s="3" t="s">
        <v>15</v>
      </c>
      <c r="H19" s="3" t="s">
        <v>16</v>
      </c>
      <c r="I19" s="3" t="s">
        <v>36</v>
      </c>
      <c r="J19" s="3">
        <f t="shared" si="0"/>
        <v>11</v>
      </c>
      <c r="K19" s="3">
        <f t="shared" si="1"/>
        <v>2025</v>
      </c>
    </row>
    <row r="20" spans="1:11" ht="22.5" hidden="1" customHeight="1" x14ac:dyDescent="0.2">
      <c r="A20" s="5">
        <v>46018</v>
      </c>
      <c r="B20" s="3" t="s">
        <v>11</v>
      </c>
      <c r="C20" s="3" t="s">
        <v>32</v>
      </c>
      <c r="D20" s="3" t="s">
        <v>33</v>
      </c>
      <c r="E20" s="3" t="s">
        <v>34</v>
      </c>
      <c r="F20" s="4">
        <v>-229.5</v>
      </c>
      <c r="G20" s="3" t="s">
        <v>15</v>
      </c>
      <c r="H20" s="3" t="s">
        <v>16</v>
      </c>
      <c r="I20" s="3" t="s">
        <v>37</v>
      </c>
      <c r="J20" s="3">
        <f t="shared" si="0"/>
        <v>12</v>
      </c>
      <c r="K20" s="3">
        <f t="shared" si="1"/>
        <v>2025</v>
      </c>
    </row>
    <row r="21" spans="1:11" ht="22.5" hidden="1" customHeight="1" x14ac:dyDescent="0.2">
      <c r="A21" s="2">
        <v>46049</v>
      </c>
      <c r="B21" s="3" t="s">
        <v>11</v>
      </c>
      <c r="C21" s="3" t="s">
        <v>32</v>
      </c>
      <c r="D21" s="3" t="s">
        <v>33</v>
      </c>
      <c r="E21" s="3" t="s">
        <v>34</v>
      </c>
      <c r="F21" s="4">
        <v>-229.5</v>
      </c>
      <c r="G21" s="3" t="s">
        <v>15</v>
      </c>
      <c r="H21" s="3" t="s">
        <v>16</v>
      </c>
      <c r="I21" s="3" t="s">
        <v>38</v>
      </c>
      <c r="J21" s="3">
        <f t="shared" si="0"/>
        <v>1</v>
      </c>
      <c r="K21" s="3">
        <f t="shared" si="1"/>
        <v>2026</v>
      </c>
    </row>
    <row r="22" spans="1:11" ht="22.5" hidden="1" customHeight="1" x14ac:dyDescent="0.2">
      <c r="A22" s="2">
        <v>46080</v>
      </c>
      <c r="B22" s="3" t="s">
        <v>11</v>
      </c>
      <c r="C22" s="3" t="s">
        <v>32</v>
      </c>
      <c r="D22" s="3" t="s">
        <v>33</v>
      </c>
      <c r="E22" s="3" t="s">
        <v>34</v>
      </c>
      <c r="F22" s="4">
        <v>-229.5</v>
      </c>
      <c r="G22" s="3" t="s">
        <v>15</v>
      </c>
      <c r="H22" s="3" t="s">
        <v>16</v>
      </c>
      <c r="I22" s="3" t="s">
        <v>39</v>
      </c>
      <c r="J22" s="3">
        <f t="shared" si="0"/>
        <v>2</v>
      </c>
      <c r="K22" s="3">
        <f t="shared" si="1"/>
        <v>2026</v>
      </c>
    </row>
    <row r="23" spans="1:11" ht="22.5" hidden="1" customHeight="1" x14ac:dyDescent="0.2">
      <c r="A23" s="2">
        <v>46108</v>
      </c>
      <c r="B23" s="3" t="s">
        <v>11</v>
      </c>
      <c r="C23" s="3" t="s">
        <v>32</v>
      </c>
      <c r="D23" s="3" t="s">
        <v>33</v>
      </c>
      <c r="E23" s="3" t="s">
        <v>34</v>
      </c>
      <c r="F23" s="4">
        <v>-229.5</v>
      </c>
      <c r="G23" s="3" t="s">
        <v>15</v>
      </c>
      <c r="H23" s="3" t="s">
        <v>16</v>
      </c>
      <c r="I23" s="3" t="s">
        <v>40</v>
      </c>
      <c r="J23" s="3">
        <f t="shared" si="0"/>
        <v>3</v>
      </c>
      <c r="K23" s="3">
        <f t="shared" si="1"/>
        <v>2026</v>
      </c>
    </row>
    <row r="24" spans="1:11" ht="22.5" hidden="1" customHeight="1" x14ac:dyDescent="0.2">
      <c r="A24" s="2">
        <v>45934</v>
      </c>
      <c r="B24" s="3" t="s">
        <v>11</v>
      </c>
      <c r="C24" s="3" t="s">
        <v>32</v>
      </c>
      <c r="D24" s="3" t="s">
        <v>33</v>
      </c>
      <c r="E24" s="3" t="s">
        <v>34</v>
      </c>
      <c r="F24" s="4">
        <v>-316.54000000000002</v>
      </c>
      <c r="G24" s="3" t="s">
        <v>15</v>
      </c>
      <c r="H24" s="3" t="s">
        <v>16</v>
      </c>
      <c r="I24" s="3" t="s">
        <v>41</v>
      </c>
      <c r="J24" s="3">
        <f t="shared" si="0"/>
        <v>10</v>
      </c>
      <c r="K24" s="3">
        <f t="shared" si="1"/>
        <v>2025</v>
      </c>
    </row>
    <row r="25" spans="1:11" ht="22.5" hidden="1" customHeight="1" x14ac:dyDescent="0.2">
      <c r="A25" s="2">
        <v>45965</v>
      </c>
      <c r="B25" s="3" t="s">
        <v>11</v>
      </c>
      <c r="C25" s="3" t="s">
        <v>32</v>
      </c>
      <c r="D25" s="3" t="s">
        <v>33</v>
      </c>
      <c r="E25" s="3" t="s">
        <v>34</v>
      </c>
      <c r="F25" s="4">
        <v>-316.54000000000002</v>
      </c>
      <c r="G25" s="3" t="s">
        <v>15</v>
      </c>
      <c r="H25" s="3" t="s">
        <v>16</v>
      </c>
      <c r="I25" s="3" t="s">
        <v>42</v>
      </c>
      <c r="J25" s="3">
        <f t="shared" si="0"/>
        <v>11</v>
      </c>
      <c r="K25" s="3">
        <f t="shared" si="1"/>
        <v>2025</v>
      </c>
    </row>
    <row r="26" spans="1:11" ht="22.5" hidden="1" customHeight="1" x14ac:dyDescent="0.2">
      <c r="A26" s="2">
        <v>45995</v>
      </c>
      <c r="B26" s="3" t="s">
        <v>11</v>
      </c>
      <c r="C26" s="3" t="s">
        <v>32</v>
      </c>
      <c r="D26" s="3" t="s">
        <v>33</v>
      </c>
      <c r="E26" s="3" t="s">
        <v>34</v>
      </c>
      <c r="F26" s="4">
        <v>-316.54000000000002</v>
      </c>
      <c r="G26" s="3" t="s">
        <v>15</v>
      </c>
      <c r="H26" s="3" t="s">
        <v>16</v>
      </c>
      <c r="I26" s="3" t="s">
        <v>43</v>
      </c>
      <c r="J26" s="3">
        <f t="shared" si="0"/>
        <v>12</v>
      </c>
      <c r="K26" s="3">
        <f t="shared" si="1"/>
        <v>2025</v>
      </c>
    </row>
    <row r="27" spans="1:11" ht="22.5" hidden="1" customHeight="1" x14ac:dyDescent="0.2">
      <c r="A27" s="2">
        <v>46026</v>
      </c>
      <c r="B27" s="3" t="s">
        <v>11</v>
      </c>
      <c r="C27" s="3" t="s">
        <v>32</v>
      </c>
      <c r="D27" s="3" t="s">
        <v>33</v>
      </c>
      <c r="E27" s="3" t="s">
        <v>34</v>
      </c>
      <c r="F27" s="4">
        <v>-316.54000000000002</v>
      </c>
      <c r="G27" s="3" t="s">
        <v>15</v>
      </c>
      <c r="H27" s="3" t="s">
        <v>16</v>
      </c>
      <c r="I27" s="3" t="s">
        <v>44</v>
      </c>
      <c r="J27" s="3">
        <f t="shared" si="0"/>
        <v>1</v>
      </c>
      <c r="K27" s="3">
        <f t="shared" si="1"/>
        <v>2026</v>
      </c>
    </row>
    <row r="28" spans="1:11" ht="22.5" hidden="1" customHeight="1" x14ac:dyDescent="0.2">
      <c r="A28" s="2">
        <v>46057</v>
      </c>
      <c r="B28" s="3" t="s">
        <v>11</v>
      </c>
      <c r="C28" s="3" t="s">
        <v>32</v>
      </c>
      <c r="D28" s="3" t="s">
        <v>33</v>
      </c>
      <c r="E28" s="3" t="s">
        <v>34</v>
      </c>
      <c r="F28" s="4">
        <v>-316.54000000000002</v>
      </c>
      <c r="G28" s="3" t="s">
        <v>15</v>
      </c>
      <c r="H28" s="3" t="s">
        <v>16</v>
      </c>
      <c r="I28" s="3" t="s">
        <v>45</v>
      </c>
      <c r="J28" s="3">
        <f t="shared" si="0"/>
        <v>2</v>
      </c>
      <c r="K28" s="3">
        <f t="shared" si="1"/>
        <v>2026</v>
      </c>
    </row>
    <row r="29" spans="1:11" ht="22.5" hidden="1" customHeight="1" x14ac:dyDescent="0.2">
      <c r="A29" s="2">
        <v>46085</v>
      </c>
      <c r="B29" s="3" t="s">
        <v>11</v>
      </c>
      <c r="C29" s="3" t="s">
        <v>32</v>
      </c>
      <c r="D29" s="3" t="s">
        <v>33</v>
      </c>
      <c r="E29" s="3" t="s">
        <v>34</v>
      </c>
      <c r="F29" s="4">
        <v>-316.54000000000002</v>
      </c>
      <c r="G29" s="3" t="s">
        <v>15</v>
      </c>
      <c r="H29" s="3" t="s">
        <v>16</v>
      </c>
      <c r="I29" s="3" t="s">
        <v>46</v>
      </c>
      <c r="J29" s="3">
        <f t="shared" si="0"/>
        <v>3</v>
      </c>
      <c r="K29" s="3">
        <f t="shared" si="1"/>
        <v>2026</v>
      </c>
    </row>
    <row r="30" spans="1:11" ht="22.5" hidden="1" customHeight="1" x14ac:dyDescent="0.2">
      <c r="A30" s="2">
        <v>45931</v>
      </c>
      <c r="B30" s="3" t="s">
        <v>11</v>
      </c>
      <c r="C30" s="3" t="s">
        <v>32</v>
      </c>
      <c r="D30" s="3" t="s">
        <v>30</v>
      </c>
      <c r="E30" s="3" t="s">
        <v>47</v>
      </c>
      <c r="F30" s="4">
        <v>-133.32</v>
      </c>
      <c r="G30" s="3" t="s">
        <v>15</v>
      </c>
      <c r="H30" s="3" t="s">
        <v>16</v>
      </c>
      <c r="I30" s="3" t="s">
        <v>48</v>
      </c>
      <c r="J30" s="3">
        <f t="shared" si="0"/>
        <v>10</v>
      </c>
      <c r="K30" s="3">
        <f t="shared" si="1"/>
        <v>2025</v>
      </c>
    </row>
    <row r="31" spans="1:11" ht="22.5" hidden="1" customHeight="1" x14ac:dyDescent="0.2">
      <c r="A31" s="2">
        <v>45962</v>
      </c>
      <c r="B31" s="3" t="s">
        <v>11</v>
      </c>
      <c r="C31" s="3" t="s">
        <v>32</v>
      </c>
      <c r="D31" s="3" t="s">
        <v>30</v>
      </c>
      <c r="E31" s="3" t="s">
        <v>47</v>
      </c>
      <c r="F31" s="4">
        <v>-133.32</v>
      </c>
      <c r="G31" s="3" t="s">
        <v>15</v>
      </c>
      <c r="H31" s="3" t="s">
        <v>16</v>
      </c>
      <c r="I31" s="3" t="s">
        <v>49</v>
      </c>
      <c r="J31" s="3">
        <f t="shared" si="0"/>
        <v>11</v>
      </c>
      <c r="K31" s="3">
        <f t="shared" si="1"/>
        <v>2025</v>
      </c>
    </row>
    <row r="32" spans="1:11" ht="22.5" hidden="1" customHeight="1" x14ac:dyDescent="0.2">
      <c r="A32" s="2">
        <v>45935</v>
      </c>
      <c r="B32" s="3" t="s">
        <v>11</v>
      </c>
      <c r="C32" s="3" t="s">
        <v>32</v>
      </c>
      <c r="D32" s="3" t="s">
        <v>50</v>
      </c>
      <c r="E32" s="3" t="s">
        <v>51</v>
      </c>
      <c r="F32" s="4">
        <v>-54.72</v>
      </c>
      <c r="G32" s="3" t="s">
        <v>15</v>
      </c>
      <c r="H32" s="3" t="s">
        <v>16</v>
      </c>
      <c r="I32" s="3" t="s">
        <v>52</v>
      </c>
      <c r="J32" s="3">
        <f t="shared" si="0"/>
        <v>10</v>
      </c>
      <c r="K32" s="3">
        <f t="shared" si="1"/>
        <v>2025</v>
      </c>
    </row>
    <row r="33" spans="1:11" ht="22.5" hidden="1" customHeight="1" x14ac:dyDescent="0.2">
      <c r="A33" s="2">
        <v>45966</v>
      </c>
      <c r="B33" s="3" t="s">
        <v>11</v>
      </c>
      <c r="C33" s="3" t="s">
        <v>32</v>
      </c>
      <c r="D33" s="3" t="s">
        <v>50</v>
      </c>
      <c r="E33" s="3" t="s">
        <v>51</v>
      </c>
      <c r="F33" s="4">
        <v>-54.72</v>
      </c>
      <c r="G33" s="3" t="s">
        <v>15</v>
      </c>
      <c r="H33" s="3" t="s">
        <v>16</v>
      </c>
      <c r="I33" s="3" t="s">
        <v>53</v>
      </c>
      <c r="J33" s="3">
        <f t="shared" si="0"/>
        <v>11</v>
      </c>
      <c r="K33" s="3">
        <f t="shared" si="1"/>
        <v>2025</v>
      </c>
    </row>
    <row r="34" spans="1:11" ht="22.5" hidden="1" customHeight="1" x14ac:dyDescent="0.2">
      <c r="A34" s="2">
        <v>45996</v>
      </c>
      <c r="B34" s="3" t="s">
        <v>11</v>
      </c>
      <c r="C34" s="3" t="s">
        <v>32</v>
      </c>
      <c r="D34" s="3" t="s">
        <v>50</v>
      </c>
      <c r="E34" s="3" t="s">
        <v>51</v>
      </c>
      <c r="F34" s="4">
        <v>-54.72</v>
      </c>
      <c r="G34" s="3" t="s">
        <v>15</v>
      </c>
      <c r="H34" s="3" t="s">
        <v>16</v>
      </c>
      <c r="I34" s="3" t="s">
        <v>54</v>
      </c>
      <c r="J34" s="3">
        <f t="shared" si="0"/>
        <v>12</v>
      </c>
      <c r="K34" s="3">
        <f t="shared" si="1"/>
        <v>2025</v>
      </c>
    </row>
    <row r="35" spans="1:11" ht="22.5" hidden="1" customHeight="1" x14ac:dyDescent="0.2">
      <c r="A35" s="2">
        <v>46027</v>
      </c>
      <c r="B35" s="3" t="s">
        <v>11</v>
      </c>
      <c r="C35" s="3" t="s">
        <v>32</v>
      </c>
      <c r="D35" s="3" t="s">
        <v>50</v>
      </c>
      <c r="E35" s="3" t="s">
        <v>51</v>
      </c>
      <c r="F35" s="4">
        <v>-54.72</v>
      </c>
      <c r="G35" s="3" t="s">
        <v>15</v>
      </c>
      <c r="H35" s="3" t="s">
        <v>16</v>
      </c>
      <c r="I35" s="3" t="s">
        <v>55</v>
      </c>
      <c r="J35" s="3">
        <f t="shared" si="0"/>
        <v>1</v>
      </c>
      <c r="K35" s="3">
        <f t="shared" si="1"/>
        <v>2026</v>
      </c>
    </row>
    <row r="36" spans="1:11" ht="22.5" hidden="1" customHeight="1" x14ac:dyDescent="0.2">
      <c r="A36" s="2">
        <v>46058</v>
      </c>
      <c r="B36" s="3" t="s">
        <v>11</v>
      </c>
      <c r="C36" s="3" t="s">
        <v>32</v>
      </c>
      <c r="D36" s="3" t="s">
        <v>50</v>
      </c>
      <c r="E36" s="3" t="s">
        <v>51</v>
      </c>
      <c r="F36" s="4">
        <v>-54.72</v>
      </c>
      <c r="G36" s="3" t="s">
        <v>15</v>
      </c>
      <c r="H36" s="3" t="s">
        <v>16</v>
      </c>
      <c r="I36" s="3" t="s">
        <v>56</v>
      </c>
      <c r="J36" s="3">
        <f t="shared" si="0"/>
        <v>2</v>
      </c>
      <c r="K36" s="3">
        <f t="shared" si="1"/>
        <v>2026</v>
      </c>
    </row>
    <row r="37" spans="1:11" ht="22.5" hidden="1" customHeight="1" x14ac:dyDescent="0.2">
      <c r="A37" s="2">
        <v>46086</v>
      </c>
      <c r="B37" s="3" t="s">
        <v>11</v>
      </c>
      <c r="C37" s="3" t="s">
        <v>32</v>
      </c>
      <c r="D37" s="3" t="s">
        <v>50</v>
      </c>
      <c r="E37" s="3" t="s">
        <v>51</v>
      </c>
      <c r="F37" s="4">
        <v>-54.72</v>
      </c>
      <c r="G37" s="3" t="s">
        <v>15</v>
      </c>
      <c r="H37" s="3" t="s">
        <v>16</v>
      </c>
      <c r="I37" s="3" t="s">
        <v>57</v>
      </c>
      <c r="J37" s="3">
        <f t="shared" si="0"/>
        <v>3</v>
      </c>
      <c r="K37" s="3">
        <f t="shared" si="1"/>
        <v>2026</v>
      </c>
    </row>
    <row r="38" spans="1:11" ht="22.5" hidden="1" customHeight="1" x14ac:dyDescent="0.2">
      <c r="A38" s="2">
        <v>46117</v>
      </c>
      <c r="B38" s="3" t="s">
        <v>11</v>
      </c>
      <c r="C38" s="3" t="s">
        <v>32</v>
      </c>
      <c r="D38" s="3" t="s">
        <v>50</v>
      </c>
      <c r="E38" s="3" t="s">
        <v>51</v>
      </c>
      <c r="F38" s="4">
        <v>-54.72</v>
      </c>
      <c r="G38" s="3" t="s">
        <v>15</v>
      </c>
      <c r="H38" s="3" t="s">
        <v>16</v>
      </c>
      <c r="I38" s="3" t="s">
        <v>58</v>
      </c>
      <c r="J38" s="3">
        <f t="shared" si="0"/>
        <v>4</v>
      </c>
      <c r="K38" s="3">
        <f t="shared" si="1"/>
        <v>2026</v>
      </c>
    </row>
    <row r="39" spans="1:11" ht="22.5" hidden="1" customHeight="1" x14ac:dyDescent="0.2">
      <c r="A39" s="5">
        <v>45950</v>
      </c>
      <c r="B39" s="3" t="s">
        <v>11</v>
      </c>
      <c r="C39" s="3" t="s">
        <v>32</v>
      </c>
      <c r="D39" s="3" t="s">
        <v>50</v>
      </c>
      <c r="E39" s="3" t="s">
        <v>59</v>
      </c>
      <c r="F39" s="4">
        <v>-305.64</v>
      </c>
      <c r="G39" s="3" t="s">
        <v>15</v>
      </c>
      <c r="H39" s="3" t="s">
        <v>16</v>
      </c>
      <c r="I39" s="3" t="s">
        <v>60</v>
      </c>
      <c r="J39" s="3">
        <f t="shared" si="0"/>
        <v>10</v>
      </c>
      <c r="K39" s="3">
        <f t="shared" si="1"/>
        <v>2025</v>
      </c>
    </row>
    <row r="40" spans="1:11" ht="22.5" hidden="1" customHeight="1" x14ac:dyDescent="0.2">
      <c r="A40" s="5">
        <v>45950</v>
      </c>
      <c r="B40" s="3" t="s">
        <v>11</v>
      </c>
      <c r="C40" s="3" t="s">
        <v>32</v>
      </c>
      <c r="D40" s="3" t="s">
        <v>50</v>
      </c>
      <c r="E40" s="3" t="s">
        <v>59</v>
      </c>
      <c r="F40" s="4">
        <v>-0.23</v>
      </c>
      <c r="G40" s="3" t="s">
        <v>15</v>
      </c>
      <c r="H40" s="3" t="s">
        <v>16</v>
      </c>
      <c r="I40" s="3" t="s">
        <v>61</v>
      </c>
      <c r="J40" s="3">
        <f t="shared" si="0"/>
        <v>10</v>
      </c>
      <c r="K40" s="3">
        <f t="shared" si="1"/>
        <v>2025</v>
      </c>
    </row>
    <row r="41" spans="1:11" ht="22.5" hidden="1" customHeight="1" x14ac:dyDescent="0.2">
      <c r="A41" s="5">
        <v>45950</v>
      </c>
      <c r="B41" s="3" t="s">
        <v>11</v>
      </c>
      <c r="C41" s="3" t="s">
        <v>32</v>
      </c>
      <c r="D41" s="3" t="s">
        <v>50</v>
      </c>
      <c r="E41" s="3" t="s">
        <v>59</v>
      </c>
      <c r="F41" s="4">
        <v>-10.7</v>
      </c>
      <c r="G41" s="3" t="s">
        <v>15</v>
      </c>
      <c r="H41" s="3" t="s">
        <v>16</v>
      </c>
      <c r="I41" s="3" t="s">
        <v>61</v>
      </c>
      <c r="J41" s="3">
        <f t="shared" si="0"/>
        <v>10</v>
      </c>
      <c r="K41" s="3">
        <f t="shared" si="1"/>
        <v>2025</v>
      </c>
    </row>
    <row r="42" spans="1:11" ht="22.5" customHeight="1" x14ac:dyDescent="0.2">
      <c r="A42" s="2">
        <v>45963</v>
      </c>
      <c r="B42" s="3" t="s">
        <v>11</v>
      </c>
      <c r="C42" s="3" t="s">
        <v>32</v>
      </c>
      <c r="D42" s="3" t="s">
        <v>62</v>
      </c>
      <c r="E42" s="3" t="s">
        <v>63</v>
      </c>
      <c r="F42" s="4">
        <v>-57.87</v>
      </c>
      <c r="G42" s="3" t="s">
        <v>15</v>
      </c>
      <c r="H42" s="3" t="s">
        <v>19</v>
      </c>
      <c r="J42" s="3">
        <f t="shared" si="0"/>
        <v>11</v>
      </c>
      <c r="K42" s="3">
        <f t="shared" si="1"/>
        <v>2025</v>
      </c>
    </row>
    <row r="43" spans="1:11" ht="22.5" customHeight="1" x14ac:dyDescent="0.2">
      <c r="A43" s="2">
        <v>45969</v>
      </c>
      <c r="B43" s="3" t="s">
        <v>11</v>
      </c>
      <c r="C43" s="3" t="s">
        <v>32</v>
      </c>
      <c r="D43" s="3" t="s">
        <v>62</v>
      </c>
      <c r="E43" s="3" t="s">
        <v>63</v>
      </c>
      <c r="F43" s="4">
        <v>-214</v>
      </c>
      <c r="G43" s="3" t="s">
        <v>15</v>
      </c>
      <c r="H43" s="3" t="s">
        <v>19</v>
      </c>
      <c r="I43" s="3" t="s">
        <v>64</v>
      </c>
      <c r="J43" s="3">
        <f t="shared" si="0"/>
        <v>11</v>
      </c>
      <c r="K43" s="3">
        <f t="shared" si="1"/>
        <v>2025</v>
      </c>
    </row>
    <row r="44" spans="1:11" ht="22.5" customHeight="1" x14ac:dyDescent="0.2">
      <c r="A44" s="2">
        <v>45969</v>
      </c>
      <c r="B44" s="3" t="s">
        <v>11</v>
      </c>
      <c r="C44" s="3" t="s">
        <v>32</v>
      </c>
      <c r="D44" s="3" t="s">
        <v>62</v>
      </c>
      <c r="E44" s="3" t="s">
        <v>63</v>
      </c>
      <c r="F44" s="4">
        <v>35</v>
      </c>
      <c r="G44" s="3" t="s">
        <v>23</v>
      </c>
      <c r="H44" s="3" t="s">
        <v>24</v>
      </c>
      <c r="I44" s="3" t="s">
        <v>65</v>
      </c>
      <c r="J44" s="3">
        <f t="shared" si="0"/>
        <v>11</v>
      </c>
      <c r="K44" s="3">
        <f t="shared" si="1"/>
        <v>2025</v>
      </c>
    </row>
    <row r="45" spans="1:11" ht="22.5" customHeight="1" x14ac:dyDescent="0.2">
      <c r="A45" s="2">
        <v>45969</v>
      </c>
      <c r="B45" s="3" t="s">
        <v>11</v>
      </c>
      <c r="C45" s="3" t="s">
        <v>32</v>
      </c>
      <c r="D45" s="3" t="s">
        <v>62</v>
      </c>
      <c r="E45" s="3" t="s">
        <v>63</v>
      </c>
      <c r="F45" s="4">
        <v>45</v>
      </c>
      <c r="G45" s="3" t="s">
        <v>23</v>
      </c>
      <c r="H45" s="3" t="s">
        <v>24</v>
      </c>
      <c r="I45" s="3" t="s">
        <v>66</v>
      </c>
      <c r="J45" s="3">
        <f t="shared" si="0"/>
        <v>11</v>
      </c>
      <c r="K45" s="3">
        <f t="shared" si="1"/>
        <v>2025</v>
      </c>
    </row>
    <row r="46" spans="1:11" ht="22.5" customHeight="1" x14ac:dyDescent="0.2">
      <c r="A46" s="2">
        <v>45969</v>
      </c>
      <c r="B46" s="3" t="s">
        <v>11</v>
      </c>
      <c r="C46" s="3" t="s">
        <v>32</v>
      </c>
      <c r="D46" s="3" t="s">
        <v>62</v>
      </c>
      <c r="E46" s="3" t="s">
        <v>63</v>
      </c>
      <c r="F46" s="4">
        <v>34</v>
      </c>
      <c r="G46" s="3" t="s">
        <v>23</v>
      </c>
      <c r="H46" s="3" t="s">
        <v>24</v>
      </c>
      <c r="I46" s="3" t="s">
        <v>67</v>
      </c>
      <c r="J46" s="3">
        <f t="shared" si="0"/>
        <v>11</v>
      </c>
      <c r="K46" s="3">
        <f t="shared" si="1"/>
        <v>2025</v>
      </c>
    </row>
    <row r="47" spans="1:11" ht="22.5" customHeight="1" x14ac:dyDescent="0.2">
      <c r="A47" s="5">
        <v>45958</v>
      </c>
      <c r="B47" s="3" t="s">
        <v>11</v>
      </c>
      <c r="C47" s="3" t="s">
        <v>32</v>
      </c>
      <c r="D47" s="3" t="s">
        <v>62</v>
      </c>
      <c r="E47" s="3" t="s">
        <v>68</v>
      </c>
      <c r="F47" s="4">
        <v>-32.15</v>
      </c>
      <c r="G47" s="3" t="s">
        <v>15</v>
      </c>
      <c r="H47" s="3" t="s">
        <v>16</v>
      </c>
      <c r="J47" s="3">
        <f t="shared" si="0"/>
        <v>10</v>
      </c>
      <c r="K47" s="3">
        <f t="shared" si="1"/>
        <v>2025</v>
      </c>
    </row>
    <row r="48" spans="1:11" ht="22.5" customHeight="1" x14ac:dyDescent="0.2">
      <c r="A48" s="2">
        <v>45964</v>
      </c>
      <c r="B48" s="3" t="s">
        <v>11</v>
      </c>
      <c r="C48" s="3" t="s">
        <v>32</v>
      </c>
      <c r="D48" s="3" t="s">
        <v>62</v>
      </c>
      <c r="E48" s="3" t="s">
        <v>68</v>
      </c>
      <c r="F48" s="4">
        <v>-144.51</v>
      </c>
      <c r="G48" s="3" t="s">
        <v>15</v>
      </c>
      <c r="H48" s="3" t="s">
        <v>19</v>
      </c>
      <c r="J48" s="3">
        <f t="shared" si="0"/>
        <v>11</v>
      </c>
      <c r="K48" s="3">
        <f t="shared" si="1"/>
        <v>2025</v>
      </c>
    </row>
    <row r="49" spans="1:11" ht="22.5" customHeight="1" x14ac:dyDescent="0.2">
      <c r="A49" s="5">
        <v>45949</v>
      </c>
      <c r="B49" s="3" t="s">
        <v>11</v>
      </c>
      <c r="C49" s="3" t="s">
        <v>32</v>
      </c>
      <c r="D49" s="3" t="s">
        <v>62</v>
      </c>
      <c r="E49" s="3" t="s">
        <v>69</v>
      </c>
      <c r="F49" s="4">
        <v>-16.989999999999998</v>
      </c>
      <c r="G49" s="3" t="s">
        <v>15</v>
      </c>
      <c r="H49" s="3" t="s">
        <v>16</v>
      </c>
      <c r="J49" s="3">
        <f t="shared" si="0"/>
        <v>10</v>
      </c>
      <c r="K49" s="3">
        <f t="shared" si="1"/>
        <v>2025</v>
      </c>
    </row>
    <row r="50" spans="1:11" ht="22.5" customHeight="1" x14ac:dyDescent="0.2">
      <c r="A50" s="2">
        <v>45934</v>
      </c>
      <c r="B50" s="3" t="s">
        <v>11</v>
      </c>
      <c r="C50" s="3" t="s">
        <v>32</v>
      </c>
      <c r="D50" s="3" t="s">
        <v>62</v>
      </c>
      <c r="E50" s="3" t="s">
        <v>70</v>
      </c>
      <c r="F50" s="4">
        <v>-40.53</v>
      </c>
      <c r="G50" s="3" t="s">
        <v>15</v>
      </c>
      <c r="H50" s="3" t="s">
        <v>16</v>
      </c>
      <c r="J50" s="3">
        <f t="shared" si="0"/>
        <v>10</v>
      </c>
      <c r="K50" s="3">
        <f t="shared" si="1"/>
        <v>2025</v>
      </c>
    </row>
    <row r="51" spans="1:11" ht="22.5" customHeight="1" x14ac:dyDescent="0.2">
      <c r="A51" s="2">
        <v>45936</v>
      </c>
      <c r="B51" s="3" t="s">
        <v>11</v>
      </c>
      <c r="C51" s="3" t="s">
        <v>32</v>
      </c>
      <c r="D51" s="3" t="s">
        <v>62</v>
      </c>
      <c r="E51" s="3" t="s">
        <v>70</v>
      </c>
      <c r="F51" s="4">
        <v>-15.8</v>
      </c>
      <c r="G51" s="3" t="s">
        <v>15</v>
      </c>
      <c r="H51" s="3" t="s">
        <v>16</v>
      </c>
      <c r="J51" s="3">
        <f t="shared" si="0"/>
        <v>10</v>
      </c>
      <c r="K51" s="3">
        <f t="shared" si="1"/>
        <v>2025</v>
      </c>
    </row>
    <row r="52" spans="1:11" ht="22.5" customHeight="1" x14ac:dyDescent="0.2">
      <c r="A52" s="5">
        <v>45940</v>
      </c>
      <c r="B52" s="3" t="s">
        <v>11</v>
      </c>
      <c r="C52" s="3" t="s">
        <v>32</v>
      </c>
      <c r="D52" s="3" t="s">
        <v>62</v>
      </c>
      <c r="E52" s="3" t="s">
        <v>70</v>
      </c>
      <c r="F52" s="4">
        <v>-18.989999999999998</v>
      </c>
      <c r="G52" s="3" t="s">
        <v>15</v>
      </c>
      <c r="H52" s="3" t="s">
        <v>16</v>
      </c>
      <c r="J52" s="3">
        <f t="shared" si="0"/>
        <v>10</v>
      </c>
      <c r="K52" s="3">
        <f t="shared" si="1"/>
        <v>2025</v>
      </c>
    </row>
    <row r="53" spans="1:11" ht="22.5" customHeight="1" x14ac:dyDescent="0.2">
      <c r="A53" s="5">
        <v>45940</v>
      </c>
      <c r="B53" s="3" t="s">
        <v>11</v>
      </c>
      <c r="C53" s="3" t="s">
        <v>32</v>
      </c>
      <c r="D53" s="3" t="s">
        <v>62</v>
      </c>
      <c r="E53" s="3" t="s">
        <v>70</v>
      </c>
      <c r="F53" s="4">
        <v>-41.94</v>
      </c>
      <c r="G53" s="3" t="s">
        <v>15</v>
      </c>
      <c r="H53" s="3" t="s">
        <v>16</v>
      </c>
      <c r="J53" s="3">
        <f t="shared" si="0"/>
        <v>10</v>
      </c>
      <c r="K53" s="3">
        <f t="shared" si="1"/>
        <v>2025</v>
      </c>
    </row>
    <row r="54" spans="1:11" ht="22.5" customHeight="1" x14ac:dyDescent="0.2">
      <c r="A54" s="5">
        <v>45947</v>
      </c>
      <c r="B54" s="3" t="s">
        <v>11</v>
      </c>
      <c r="C54" s="3" t="s">
        <v>32</v>
      </c>
      <c r="D54" s="3" t="s">
        <v>62</v>
      </c>
      <c r="E54" s="3" t="s">
        <v>70</v>
      </c>
      <c r="F54" s="4">
        <v>-12.99</v>
      </c>
      <c r="G54" s="3" t="s">
        <v>15</v>
      </c>
      <c r="H54" s="3" t="s">
        <v>16</v>
      </c>
      <c r="J54" s="3">
        <f t="shared" si="0"/>
        <v>10</v>
      </c>
      <c r="K54" s="3">
        <f t="shared" si="1"/>
        <v>2025</v>
      </c>
    </row>
    <row r="55" spans="1:11" ht="22.5" customHeight="1" x14ac:dyDescent="0.2">
      <c r="A55" s="5">
        <v>45948</v>
      </c>
      <c r="B55" s="3" t="s">
        <v>11</v>
      </c>
      <c r="C55" s="3" t="s">
        <v>32</v>
      </c>
      <c r="D55" s="3" t="s">
        <v>62</v>
      </c>
      <c r="E55" s="3" t="s">
        <v>70</v>
      </c>
      <c r="F55" s="4">
        <v>-6.99</v>
      </c>
      <c r="G55" s="3" t="s">
        <v>15</v>
      </c>
      <c r="H55" s="3" t="s">
        <v>16</v>
      </c>
      <c r="J55" s="3">
        <f t="shared" si="0"/>
        <v>10</v>
      </c>
      <c r="K55" s="3">
        <f t="shared" si="1"/>
        <v>2025</v>
      </c>
    </row>
    <row r="56" spans="1:11" ht="22.5" customHeight="1" x14ac:dyDescent="0.2">
      <c r="A56" s="5">
        <v>45950</v>
      </c>
      <c r="B56" s="3" t="s">
        <v>11</v>
      </c>
      <c r="C56" s="3" t="s">
        <v>32</v>
      </c>
      <c r="D56" s="3" t="s">
        <v>62</v>
      </c>
      <c r="E56" s="3" t="s">
        <v>70</v>
      </c>
      <c r="F56" s="4">
        <v>-6.68</v>
      </c>
      <c r="G56" s="3" t="s">
        <v>15</v>
      </c>
      <c r="H56" s="3" t="s">
        <v>16</v>
      </c>
      <c r="I56" s="3" t="s">
        <v>71</v>
      </c>
      <c r="J56" s="3">
        <f t="shared" si="0"/>
        <v>10</v>
      </c>
      <c r="K56" s="3">
        <f t="shared" si="1"/>
        <v>2025</v>
      </c>
    </row>
    <row r="57" spans="1:11" ht="22.5" customHeight="1" x14ac:dyDescent="0.2">
      <c r="A57" s="2">
        <v>45962</v>
      </c>
      <c r="B57" s="3" t="s">
        <v>11</v>
      </c>
      <c r="C57" s="3" t="s">
        <v>32</v>
      </c>
      <c r="D57" s="3" t="s">
        <v>62</v>
      </c>
      <c r="E57" s="3" t="s">
        <v>70</v>
      </c>
      <c r="F57" s="4">
        <v>-12</v>
      </c>
      <c r="G57" s="3" t="s">
        <v>15</v>
      </c>
      <c r="H57" s="3" t="s">
        <v>19</v>
      </c>
      <c r="I57" s="3" t="s">
        <v>72</v>
      </c>
      <c r="J57" s="3">
        <f t="shared" si="0"/>
        <v>11</v>
      </c>
      <c r="K57" s="3">
        <f t="shared" si="1"/>
        <v>2025</v>
      </c>
    </row>
    <row r="58" spans="1:11" ht="22.5" customHeight="1" x14ac:dyDescent="0.2">
      <c r="A58" s="2">
        <v>45964</v>
      </c>
      <c r="B58" s="3" t="s">
        <v>11</v>
      </c>
      <c r="C58" s="3" t="s">
        <v>32</v>
      </c>
      <c r="D58" s="3" t="s">
        <v>62</v>
      </c>
      <c r="E58" s="3" t="s">
        <v>70</v>
      </c>
      <c r="F58" s="4">
        <v>-13</v>
      </c>
      <c r="G58" s="3" t="s">
        <v>15</v>
      </c>
      <c r="H58" s="3" t="s">
        <v>19</v>
      </c>
      <c r="J58" s="3">
        <f t="shared" si="0"/>
        <v>11</v>
      </c>
      <c r="K58" s="3">
        <f t="shared" si="1"/>
        <v>2025</v>
      </c>
    </row>
    <row r="59" spans="1:11" ht="22.5" customHeight="1" x14ac:dyDescent="0.2">
      <c r="A59" s="2">
        <v>45971</v>
      </c>
      <c r="B59" s="3" t="s">
        <v>11</v>
      </c>
      <c r="C59" s="3" t="s">
        <v>32</v>
      </c>
      <c r="D59" s="3" t="s">
        <v>62</v>
      </c>
      <c r="E59" s="3" t="s">
        <v>70</v>
      </c>
      <c r="F59" s="4">
        <v>-13.99</v>
      </c>
      <c r="G59" s="3" t="s">
        <v>15</v>
      </c>
      <c r="H59" s="3" t="s">
        <v>19</v>
      </c>
      <c r="I59" s="3"/>
      <c r="J59" s="3">
        <f t="shared" si="0"/>
        <v>11</v>
      </c>
      <c r="K59" s="3">
        <f t="shared" si="1"/>
        <v>2025</v>
      </c>
    </row>
    <row r="60" spans="1:11" ht="22.5" customHeight="1" x14ac:dyDescent="0.2">
      <c r="A60" s="2">
        <v>45978</v>
      </c>
      <c r="B60" s="3" t="s">
        <v>11</v>
      </c>
      <c r="C60" s="3" t="s">
        <v>32</v>
      </c>
      <c r="D60" s="3" t="s">
        <v>62</v>
      </c>
      <c r="E60" s="3" t="s">
        <v>70</v>
      </c>
      <c r="F60" s="4">
        <v>-12.37</v>
      </c>
      <c r="G60" s="3" t="s">
        <v>15</v>
      </c>
      <c r="H60" s="3" t="s">
        <v>19</v>
      </c>
      <c r="I60" s="3"/>
      <c r="J60" s="3">
        <f t="shared" si="0"/>
        <v>11</v>
      </c>
      <c r="K60" s="3">
        <f t="shared" si="1"/>
        <v>2025</v>
      </c>
    </row>
    <row r="61" spans="1:11" ht="22.5" hidden="1" customHeight="1" x14ac:dyDescent="0.2">
      <c r="A61" s="2">
        <v>45935</v>
      </c>
      <c r="B61" s="3" t="s">
        <v>11</v>
      </c>
      <c r="C61" s="3" t="s">
        <v>32</v>
      </c>
      <c r="D61" s="3" t="s">
        <v>17</v>
      </c>
      <c r="E61" s="3" t="s">
        <v>73</v>
      </c>
      <c r="F61" s="4">
        <v>-30.97</v>
      </c>
      <c r="G61" s="3" t="s">
        <v>15</v>
      </c>
      <c r="H61" s="3" t="s">
        <v>16</v>
      </c>
      <c r="I61" s="3" t="s">
        <v>74</v>
      </c>
      <c r="J61" s="3">
        <f t="shared" si="0"/>
        <v>10</v>
      </c>
      <c r="K61" s="3">
        <f t="shared" si="1"/>
        <v>2025</v>
      </c>
    </row>
    <row r="62" spans="1:11" ht="22.5" hidden="1" customHeight="1" x14ac:dyDescent="0.2">
      <c r="A62" s="2">
        <v>45935</v>
      </c>
      <c r="B62" s="3" t="s">
        <v>11</v>
      </c>
      <c r="C62" s="3" t="s">
        <v>32</v>
      </c>
      <c r="D62" s="3" t="s">
        <v>17</v>
      </c>
      <c r="E62" s="3" t="s">
        <v>73</v>
      </c>
      <c r="F62" s="4">
        <v>-1.08</v>
      </c>
      <c r="G62" s="3" t="s">
        <v>15</v>
      </c>
      <c r="H62" s="3" t="s">
        <v>16</v>
      </c>
      <c r="I62" s="3" t="s">
        <v>75</v>
      </c>
      <c r="J62" s="3">
        <f t="shared" si="0"/>
        <v>10</v>
      </c>
      <c r="K62" s="3">
        <f t="shared" si="1"/>
        <v>2025</v>
      </c>
    </row>
    <row r="63" spans="1:11" ht="22.5" hidden="1" customHeight="1" x14ac:dyDescent="0.2">
      <c r="A63" s="2">
        <v>45979</v>
      </c>
      <c r="B63" s="3" t="s">
        <v>11</v>
      </c>
      <c r="C63" s="3" t="s">
        <v>32</v>
      </c>
      <c r="D63" s="3" t="s">
        <v>17</v>
      </c>
      <c r="E63" s="3" t="s">
        <v>76</v>
      </c>
      <c r="F63" s="4">
        <v>-71.62</v>
      </c>
      <c r="G63" s="3" t="s">
        <v>15</v>
      </c>
      <c r="H63" s="3" t="s">
        <v>19</v>
      </c>
      <c r="I63" s="3" t="s">
        <v>77</v>
      </c>
      <c r="J63" s="3">
        <f t="shared" si="0"/>
        <v>11</v>
      </c>
      <c r="K63" s="3">
        <f t="shared" si="1"/>
        <v>2025</v>
      </c>
    </row>
    <row r="64" spans="1:11" ht="22.5" hidden="1" customHeight="1" x14ac:dyDescent="0.2">
      <c r="A64" s="5">
        <v>45960</v>
      </c>
      <c r="B64" s="3" t="s">
        <v>11</v>
      </c>
      <c r="C64" s="3" t="s">
        <v>32</v>
      </c>
      <c r="D64" s="3" t="s">
        <v>33</v>
      </c>
      <c r="E64" s="3" t="s">
        <v>78</v>
      </c>
      <c r="F64" s="4">
        <v>-10</v>
      </c>
      <c r="G64" s="3" t="s">
        <v>23</v>
      </c>
      <c r="H64" s="3" t="s">
        <v>24</v>
      </c>
      <c r="J64" s="3">
        <f t="shared" si="0"/>
        <v>10</v>
      </c>
      <c r="K64" s="3">
        <f t="shared" si="1"/>
        <v>2025</v>
      </c>
    </row>
    <row r="65" spans="1:11" ht="22.5" hidden="1" customHeight="1" x14ac:dyDescent="0.2">
      <c r="A65" s="2">
        <v>45970</v>
      </c>
      <c r="B65" s="3" t="s">
        <v>11</v>
      </c>
      <c r="C65" s="3" t="s">
        <v>32</v>
      </c>
      <c r="D65" s="3" t="s">
        <v>33</v>
      </c>
      <c r="E65" s="3" t="s">
        <v>78</v>
      </c>
      <c r="F65" s="4">
        <v>-10</v>
      </c>
      <c r="G65" s="3" t="s">
        <v>23</v>
      </c>
      <c r="H65" s="3" t="s">
        <v>24</v>
      </c>
      <c r="I65" s="3"/>
      <c r="J65" s="3">
        <f t="shared" si="0"/>
        <v>11</v>
      </c>
      <c r="K65" s="3">
        <f t="shared" si="1"/>
        <v>2025</v>
      </c>
    </row>
    <row r="66" spans="1:11" ht="22.5" hidden="1" customHeight="1" x14ac:dyDescent="0.2">
      <c r="A66" s="5">
        <v>45958</v>
      </c>
      <c r="B66" s="3" t="s">
        <v>11</v>
      </c>
      <c r="C66" s="3" t="s">
        <v>32</v>
      </c>
      <c r="D66" s="3" t="s">
        <v>33</v>
      </c>
      <c r="E66" s="3" t="s">
        <v>79</v>
      </c>
      <c r="F66" s="4">
        <v>-62.15</v>
      </c>
      <c r="G66" s="3" t="s">
        <v>15</v>
      </c>
      <c r="H66" s="3" t="s">
        <v>16</v>
      </c>
      <c r="J66" s="3">
        <f t="shared" si="0"/>
        <v>10</v>
      </c>
      <c r="K66" s="3">
        <f t="shared" si="1"/>
        <v>2025</v>
      </c>
    </row>
    <row r="67" spans="1:11" ht="22.5" hidden="1" customHeight="1" x14ac:dyDescent="0.2">
      <c r="A67" s="2">
        <v>45967</v>
      </c>
      <c r="B67" s="3" t="s">
        <v>11</v>
      </c>
      <c r="C67" s="3" t="s">
        <v>32</v>
      </c>
      <c r="D67" s="3" t="s">
        <v>33</v>
      </c>
      <c r="E67" s="3" t="s">
        <v>79</v>
      </c>
      <c r="F67" s="4">
        <v>-14.87</v>
      </c>
      <c r="G67" s="3" t="s">
        <v>15</v>
      </c>
      <c r="H67" s="3" t="s">
        <v>19</v>
      </c>
      <c r="I67" s="3"/>
      <c r="J67" s="3">
        <f t="shared" si="0"/>
        <v>11</v>
      </c>
      <c r="K67" s="3">
        <f t="shared" si="1"/>
        <v>2025</v>
      </c>
    </row>
    <row r="68" spans="1:11" ht="22.5" hidden="1" customHeight="1" x14ac:dyDescent="0.2">
      <c r="A68" s="2">
        <v>45968</v>
      </c>
      <c r="B68" s="3" t="s">
        <v>11</v>
      </c>
      <c r="C68" s="3" t="s">
        <v>32</v>
      </c>
      <c r="D68" s="3" t="s">
        <v>33</v>
      </c>
      <c r="E68" s="3" t="s">
        <v>80</v>
      </c>
      <c r="F68" s="4">
        <v>-29.84</v>
      </c>
      <c r="G68" s="3" t="s">
        <v>15</v>
      </c>
      <c r="H68" s="3" t="s">
        <v>19</v>
      </c>
      <c r="I68" s="3"/>
      <c r="J68" s="3">
        <f t="shared" si="0"/>
        <v>11</v>
      </c>
      <c r="K68" s="3">
        <f t="shared" si="1"/>
        <v>2025</v>
      </c>
    </row>
    <row r="69" spans="1:11" ht="22.5" hidden="1" customHeight="1" x14ac:dyDescent="0.2">
      <c r="A69" s="2">
        <v>45970</v>
      </c>
      <c r="B69" s="3" t="s">
        <v>11</v>
      </c>
      <c r="C69" s="3" t="s">
        <v>32</v>
      </c>
      <c r="D69" s="3" t="s">
        <v>33</v>
      </c>
      <c r="E69" s="3" t="s">
        <v>80</v>
      </c>
      <c r="F69" s="4">
        <v>-35.71</v>
      </c>
      <c r="G69" s="3" t="s">
        <v>15</v>
      </c>
      <c r="H69" s="3" t="s">
        <v>19</v>
      </c>
      <c r="I69" s="3"/>
      <c r="J69" s="3">
        <f t="shared" si="0"/>
        <v>11</v>
      </c>
      <c r="K69" s="3">
        <f t="shared" si="1"/>
        <v>2025</v>
      </c>
    </row>
    <row r="70" spans="1:11" ht="22.5" customHeight="1" x14ac:dyDescent="0.2">
      <c r="A70" s="2">
        <v>45964</v>
      </c>
      <c r="B70" s="3" t="s">
        <v>11</v>
      </c>
      <c r="C70" s="3" t="s">
        <v>32</v>
      </c>
      <c r="D70" s="3" t="s">
        <v>80</v>
      </c>
      <c r="E70" s="3" t="s">
        <v>81</v>
      </c>
      <c r="F70" s="4">
        <v>-55.73</v>
      </c>
      <c r="G70" s="3" t="s">
        <v>23</v>
      </c>
      <c r="H70" s="3" t="s">
        <v>24</v>
      </c>
      <c r="J70" s="3">
        <f t="shared" si="0"/>
        <v>11</v>
      </c>
      <c r="K70" s="3">
        <f t="shared" si="1"/>
        <v>2025</v>
      </c>
    </row>
    <row r="71" spans="1:11" ht="22.5" customHeight="1" x14ac:dyDescent="0.2">
      <c r="A71" s="5">
        <v>45946</v>
      </c>
      <c r="B71" s="3" t="s">
        <v>11</v>
      </c>
      <c r="C71" s="3" t="s">
        <v>32</v>
      </c>
      <c r="D71" s="3" t="s">
        <v>80</v>
      </c>
      <c r="E71" s="3" t="s">
        <v>82</v>
      </c>
      <c r="F71" s="4">
        <v>-366</v>
      </c>
      <c r="G71" s="3" t="s">
        <v>15</v>
      </c>
      <c r="H71" s="3" t="s">
        <v>16</v>
      </c>
      <c r="J71" s="3">
        <f t="shared" si="0"/>
        <v>10</v>
      </c>
      <c r="K71" s="3">
        <f t="shared" si="1"/>
        <v>2025</v>
      </c>
    </row>
    <row r="72" spans="1:11" ht="22.5" hidden="1" customHeight="1" x14ac:dyDescent="0.2">
      <c r="A72" s="2">
        <v>45966</v>
      </c>
      <c r="B72" s="3" t="s">
        <v>11</v>
      </c>
      <c r="C72" s="3" t="s">
        <v>32</v>
      </c>
      <c r="D72" s="3" t="s">
        <v>25</v>
      </c>
      <c r="E72" s="3" t="s">
        <v>83</v>
      </c>
      <c r="F72" s="4">
        <v>-122.72</v>
      </c>
      <c r="G72" s="3" t="s">
        <v>23</v>
      </c>
      <c r="H72" s="3" t="s">
        <v>24</v>
      </c>
      <c r="J72" s="3">
        <f t="shared" si="0"/>
        <v>11</v>
      </c>
      <c r="K72" s="3">
        <f t="shared" si="1"/>
        <v>2025</v>
      </c>
    </row>
    <row r="73" spans="1:11" ht="22.5" hidden="1" customHeight="1" x14ac:dyDescent="0.2">
      <c r="A73" s="2">
        <v>45976</v>
      </c>
      <c r="B73" s="3" t="s">
        <v>11</v>
      </c>
      <c r="C73" s="3" t="s">
        <v>32</v>
      </c>
      <c r="D73" s="3" t="s">
        <v>50</v>
      </c>
      <c r="E73" s="3" t="s">
        <v>84</v>
      </c>
      <c r="F73" s="4">
        <v>-181.96</v>
      </c>
      <c r="G73" s="3" t="s">
        <v>15</v>
      </c>
      <c r="H73" s="3" t="s">
        <v>19</v>
      </c>
      <c r="I73" s="3" t="s">
        <v>85</v>
      </c>
      <c r="J73" s="3">
        <f t="shared" si="0"/>
        <v>11</v>
      </c>
      <c r="K73" s="3">
        <f t="shared" si="1"/>
        <v>2025</v>
      </c>
    </row>
    <row r="74" spans="1:11" ht="22.5" hidden="1" customHeight="1" x14ac:dyDescent="0.2">
      <c r="A74" s="2">
        <v>45978</v>
      </c>
      <c r="B74" s="3" t="s">
        <v>11</v>
      </c>
      <c r="C74" s="3" t="s">
        <v>12</v>
      </c>
      <c r="D74" s="3" t="s">
        <v>25</v>
      </c>
      <c r="E74" s="3" t="s">
        <v>28</v>
      </c>
      <c r="F74" s="4">
        <v>-54</v>
      </c>
      <c r="G74" s="3" t="s">
        <v>15</v>
      </c>
      <c r="H74" s="3" t="s">
        <v>19</v>
      </c>
      <c r="I74" s="3"/>
      <c r="J74" s="3">
        <f t="shared" si="0"/>
        <v>11</v>
      </c>
      <c r="K74" s="3">
        <f t="shared" si="1"/>
        <v>2025</v>
      </c>
    </row>
    <row r="75" spans="1:11" ht="22.5" customHeight="1" x14ac:dyDescent="0.2">
      <c r="A75" s="2">
        <v>45978</v>
      </c>
      <c r="B75" s="3" t="s">
        <v>11</v>
      </c>
      <c r="C75" s="3" t="s">
        <v>32</v>
      </c>
      <c r="D75" s="3" t="s">
        <v>62</v>
      </c>
      <c r="E75" s="3" t="s">
        <v>70</v>
      </c>
      <c r="F75" s="4">
        <v>-12.37</v>
      </c>
      <c r="G75" s="3" t="s">
        <v>15</v>
      </c>
      <c r="H75" s="3" t="s">
        <v>19</v>
      </c>
      <c r="I75" s="3"/>
      <c r="J75" s="3">
        <f t="shared" si="0"/>
        <v>11</v>
      </c>
      <c r="K75" s="3">
        <f t="shared" si="1"/>
        <v>2025</v>
      </c>
    </row>
    <row r="76" spans="1:11" ht="22.5" hidden="1" customHeight="1" x14ac:dyDescent="0.2">
      <c r="A76" s="2">
        <v>45979</v>
      </c>
      <c r="B76" s="3" t="s">
        <v>11</v>
      </c>
      <c r="C76" s="3" t="s">
        <v>32</v>
      </c>
      <c r="D76" s="3" t="s">
        <v>17</v>
      </c>
      <c r="E76" s="3" t="s">
        <v>76</v>
      </c>
      <c r="F76" s="4">
        <v>-71.62</v>
      </c>
      <c r="G76" s="3" t="s">
        <v>15</v>
      </c>
      <c r="H76" s="3" t="s">
        <v>19</v>
      </c>
      <c r="I76" s="3"/>
      <c r="J76" s="3">
        <f t="shared" si="0"/>
        <v>11</v>
      </c>
      <c r="K76" s="3">
        <f t="shared" si="1"/>
        <v>2025</v>
      </c>
    </row>
    <row r="77" spans="1:11" ht="22.5" hidden="1" customHeight="1" x14ac:dyDescent="0.2">
      <c r="A77" s="2">
        <v>45980</v>
      </c>
      <c r="B77" s="3" t="s">
        <v>11</v>
      </c>
      <c r="C77" s="3" t="s">
        <v>12</v>
      </c>
      <c r="D77" s="3" t="s">
        <v>13</v>
      </c>
      <c r="E77" s="3" t="s">
        <v>14</v>
      </c>
      <c r="F77" s="4">
        <v>-114</v>
      </c>
      <c r="G77" s="3" t="s">
        <v>15</v>
      </c>
      <c r="H77" s="3" t="s">
        <v>19</v>
      </c>
      <c r="I77" s="3"/>
      <c r="J77" s="3">
        <f t="shared" si="0"/>
        <v>11</v>
      </c>
      <c r="K77" s="3">
        <f t="shared" si="1"/>
        <v>2025</v>
      </c>
    </row>
    <row r="78" spans="1:11" ht="22.5" hidden="1" customHeight="1" x14ac:dyDescent="0.2">
      <c r="A78" s="2">
        <v>45982</v>
      </c>
      <c r="B78" s="3" t="s">
        <v>11</v>
      </c>
      <c r="C78" s="3" t="s">
        <v>32</v>
      </c>
      <c r="D78" s="3" t="s">
        <v>33</v>
      </c>
      <c r="E78" s="3" t="s">
        <v>86</v>
      </c>
      <c r="F78" s="4">
        <v>-39</v>
      </c>
      <c r="G78" s="3" t="s">
        <v>15</v>
      </c>
      <c r="H78" s="3" t="s">
        <v>19</v>
      </c>
      <c r="I78" s="3"/>
      <c r="J78" s="3">
        <f t="shared" si="0"/>
        <v>11</v>
      </c>
      <c r="K78" s="3">
        <f t="shared" si="1"/>
        <v>2025</v>
      </c>
    </row>
    <row r="79" spans="1:11" ht="22.5" customHeight="1" x14ac:dyDescent="0.2">
      <c r="A79" s="2">
        <v>45983</v>
      </c>
      <c r="B79" s="3" t="s">
        <v>11</v>
      </c>
      <c r="C79" s="3" t="s">
        <v>32</v>
      </c>
      <c r="D79" s="3" t="s">
        <v>62</v>
      </c>
      <c r="E79" s="3" t="s">
        <v>70</v>
      </c>
      <c r="F79" s="4">
        <v>-9.89</v>
      </c>
      <c r="G79" s="3" t="s">
        <v>15</v>
      </c>
      <c r="H79" s="3" t="s">
        <v>19</v>
      </c>
      <c r="I79" s="3"/>
      <c r="J79" s="3">
        <f t="shared" si="0"/>
        <v>11</v>
      </c>
      <c r="K79" s="3">
        <f t="shared" si="1"/>
        <v>2025</v>
      </c>
    </row>
    <row r="80" spans="1:11" ht="22.5" hidden="1" customHeight="1" x14ac:dyDescent="0.2">
      <c r="A80" s="2">
        <v>45983</v>
      </c>
      <c r="B80" s="3" t="s">
        <v>11</v>
      </c>
      <c r="C80" s="3" t="s">
        <v>32</v>
      </c>
      <c r="D80" s="3" t="s">
        <v>33</v>
      </c>
      <c r="E80" s="3" t="s">
        <v>86</v>
      </c>
      <c r="F80" s="4">
        <v>-50</v>
      </c>
      <c r="G80" s="3" t="s">
        <v>15</v>
      </c>
      <c r="H80" s="3" t="s">
        <v>19</v>
      </c>
      <c r="I80" s="3" t="s">
        <v>87</v>
      </c>
      <c r="J80" s="3">
        <f t="shared" si="0"/>
        <v>11</v>
      </c>
      <c r="K80" s="3">
        <f t="shared" si="1"/>
        <v>2025</v>
      </c>
    </row>
    <row r="81" spans="1:11" ht="22.5" hidden="1" customHeight="1" x14ac:dyDescent="0.2">
      <c r="A81" s="2">
        <v>45986</v>
      </c>
      <c r="B81" s="3" t="s">
        <v>11</v>
      </c>
      <c r="C81" s="3" t="s">
        <v>12</v>
      </c>
      <c r="D81" s="3" t="s">
        <v>30</v>
      </c>
      <c r="E81" s="3" t="s">
        <v>31</v>
      </c>
      <c r="F81" s="4">
        <v>-144.97</v>
      </c>
      <c r="G81" s="3" t="s">
        <v>15</v>
      </c>
      <c r="H81" s="3" t="s">
        <v>19</v>
      </c>
      <c r="I81" s="3"/>
      <c r="J81" s="3">
        <f t="shared" si="0"/>
        <v>11</v>
      </c>
      <c r="K81" s="3">
        <f t="shared" si="1"/>
        <v>2025</v>
      </c>
    </row>
    <row r="82" spans="1:11" ht="22.5" customHeight="1" x14ac:dyDescent="0.2">
      <c r="A82" s="2">
        <v>45986</v>
      </c>
      <c r="B82" s="3" t="s">
        <v>11</v>
      </c>
      <c r="C82" s="3" t="s">
        <v>32</v>
      </c>
      <c r="D82" s="3" t="s">
        <v>62</v>
      </c>
      <c r="E82" s="3" t="s">
        <v>70</v>
      </c>
      <c r="F82" s="4">
        <v>-49.46</v>
      </c>
      <c r="G82" s="3" t="s">
        <v>15</v>
      </c>
      <c r="H82" s="3" t="s">
        <v>19</v>
      </c>
      <c r="I82" s="3"/>
      <c r="J82" s="3">
        <f t="shared" si="0"/>
        <v>11</v>
      </c>
      <c r="K82" s="3">
        <f t="shared" si="1"/>
        <v>2025</v>
      </c>
    </row>
    <row r="83" spans="1:11" ht="22.5" customHeight="1" x14ac:dyDescent="0.2">
      <c r="A83" s="2">
        <v>45988</v>
      </c>
      <c r="B83" s="3" t="s">
        <v>21</v>
      </c>
      <c r="C83" s="3" t="s">
        <v>12</v>
      </c>
      <c r="D83" s="3" t="s">
        <v>22</v>
      </c>
      <c r="E83" s="3" t="s">
        <v>22</v>
      </c>
      <c r="F83" s="4">
        <v>4733</v>
      </c>
      <c r="G83" s="3" t="s">
        <v>23</v>
      </c>
      <c r="H83" s="3" t="s">
        <v>24</v>
      </c>
      <c r="I83" s="3"/>
      <c r="J83" s="3">
        <f t="shared" si="0"/>
        <v>11</v>
      </c>
      <c r="K83" s="3">
        <f t="shared" si="1"/>
        <v>2025</v>
      </c>
    </row>
    <row r="84" spans="1:11" ht="22.5" customHeight="1" x14ac:dyDescent="0.2">
      <c r="A84" s="2">
        <v>45988</v>
      </c>
      <c r="B84" s="3" t="s">
        <v>21</v>
      </c>
      <c r="C84" s="3" t="s">
        <v>12</v>
      </c>
      <c r="D84" s="3" t="s">
        <v>22</v>
      </c>
      <c r="E84" s="3" t="s">
        <v>22</v>
      </c>
      <c r="F84" s="4">
        <v>3071.41</v>
      </c>
      <c r="G84" s="3" t="s">
        <v>23</v>
      </c>
      <c r="H84" s="3" t="s">
        <v>24</v>
      </c>
      <c r="I84" s="3"/>
      <c r="J84" s="3">
        <f t="shared" si="0"/>
        <v>11</v>
      </c>
      <c r="K84" s="3">
        <f t="shared" si="1"/>
        <v>2025</v>
      </c>
    </row>
  </sheetData>
  <dataValidations count="5">
    <dataValidation type="list" allowBlank="1" sqref="B2:B84" xr:uid="{00000000-0002-0000-0000-000000000000}">
      <formula1>"Despesa,Receita"</formula1>
    </dataValidation>
    <dataValidation type="list" allowBlank="1" sqref="C2:C84" xr:uid="{00000000-0002-0000-0000-000001000000}">
      <formula1>"Fixo,Variável"</formula1>
    </dataValidation>
    <dataValidation type="list" allowBlank="1" sqref="D2:D84" xr:uid="{00000000-0002-0000-0000-000002000000}">
      <formula1>"Aquisições,Consumo,Cuidado Pessoal,Educação,Lazer,Utilidades,Transporte,Outros,Salário,Serviços"</formula1>
    </dataValidation>
    <dataValidation type="custom" allowBlank="1" showDropDown="1" sqref="F2:F84" xr:uid="{00000000-0002-0000-0000-000003000000}">
      <formula1>AND(ISNUMBER(F2),(NOT(OR(NOT(ISERROR(DATEVALUE(F2))), AND(ISNUMBER(F2), LEFT(CELL("format", F2))="D")))))</formula1>
    </dataValidation>
    <dataValidation type="list" allowBlank="1" sqref="E2:E84" xr:uid="{00000000-0002-0000-0000-000004000000}">
      <formula1>"Corte de Cabelo,Cursos,Salário,Google One,Plano Telefônico,Spotify,Microsoft365,IPVA,Viagens,Mercado,Combustível,Aulas,Gabi,Veterinário,Lanchonete,Eletrônicos,Farmácia,Jogos,Futebol,Outros,Delivery,Internet,Presentes,Roupas e Calçados,Livros,Utilitários,R"&amp;"olês"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7"/>
  <sheetViews>
    <sheetView showGridLines="0" workbookViewId="0"/>
  </sheetViews>
  <sheetFormatPr defaultColWidth="12.5703125" defaultRowHeight="15.75" customHeight="1" x14ac:dyDescent="0.2"/>
  <cols>
    <col min="2" max="2" width="15" customWidth="1"/>
    <col min="3" max="3" width="16.140625" customWidth="1"/>
  </cols>
  <sheetData>
    <row r="1" spans="1:9" x14ac:dyDescent="0.2">
      <c r="A1" s="27" t="s">
        <v>0</v>
      </c>
      <c r="B1" s="28" t="s">
        <v>92</v>
      </c>
    </row>
    <row r="2" spans="1:9" x14ac:dyDescent="0.2"/>
    <row r="3" spans="1:9" x14ac:dyDescent="0.2">
      <c r="A3" s="6" t="s">
        <v>90</v>
      </c>
      <c r="B3" s="7"/>
      <c r="C3" s="6" t="s">
        <v>10</v>
      </c>
      <c r="D3" s="8" t="s">
        <v>9</v>
      </c>
      <c r="E3" s="7"/>
      <c r="F3" s="7"/>
      <c r="G3" s="7"/>
      <c r="H3" s="7"/>
      <c r="I3" s="9"/>
    </row>
    <row r="4" spans="1:9" x14ac:dyDescent="0.2">
      <c r="A4" s="10"/>
      <c r="B4" s="11"/>
      <c r="C4" s="12">
        <v>2025</v>
      </c>
      <c r="D4" s="7"/>
      <c r="E4" s="7"/>
      <c r="F4" s="12">
        <v>2026</v>
      </c>
      <c r="G4" s="7"/>
      <c r="H4" s="7"/>
      <c r="I4" s="9"/>
    </row>
    <row r="5" spans="1:9" x14ac:dyDescent="0.2">
      <c r="A5" s="6" t="s">
        <v>1</v>
      </c>
      <c r="B5" s="6" t="s">
        <v>3</v>
      </c>
      <c r="C5" s="12">
        <v>10</v>
      </c>
      <c r="D5" s="13">
        <v>11</v>
      </c>
      <c r="E5" s="13">
        <v>12</v>
      </c>
      <c r="F5" s="12">
        <v>1</v>
      </c>
      <c r="G5" s="13">
        <v>2</v>
      </c>
      <c r="H5" s="13">
        <v>3</v>
      </c>
      <c r="I5" s="14">
        <v>4</v>
      </c>
    </row>
    <row r="6" spans="1:9" x14ac:dyDescent="0.2">
      <c r="A6" s="12" t="s">
        <v>21</v>
      </c>
      <c r="B6" s="12" t="s">
        <v>22</v>
      </c>
      <c r="C6" s="15">
        <v>4808.8999999999996</v>
      </c>
      <c r="D6" s="16">
        <v>7804.41</v>
      </c>
      <c r="E6" s="16"/>
      <c r="F6" s="15"/>
      <c r="G6" s="16"/>
      <c r="H6" s="16"/>
      <c r="I6" s="17"/>
    </row>
    <row r="7" spans="1:9" x14ac:dyDescent="0.2">
      <c r="A7" s="12" t="s">
        <v>88</v>
      </c>
      <c r="B7" s="7"/>
      <c r="C7" s="15">
        <v>4808.8999999999996</v>
      </c>
      <c r="D7" s="16">
        <v>7804.41</v>
      </c>
      <c r="E7" s="16"/>
      <c r="F7" s="15"/>
      <c r="G7" s="16"/>
      <c r="H7" s="16"/>
      <c r="I7" s="17"/>
    </row>
    <row r="8" spans="1:9" x14ac:dyDescent="0.2">
      <c r="A8" s="12" t="s">
        <v>11</v>
      </c>
      <c r="B8" s="12" t="s">
        <v>50</v>
      </c>
      <c r="C8" s="15">
        <v>-371.29</v>
      </c>
      <c r="D8" s="16">
        <v>-236.68</v>
      </c>
      <c r="E8" s="16">
        <v>-54.72</v>
      </c>
      <c r="F8" s="15">
        <v>-54.72</v>
      </c>
      <c r="G8" s="16">
        <v>-54.72</v>
      </c>
      <c r="H8" s="16">
        <v>-54.72</v>
      </c>
      <c r="I8" s="17">
        <v>-54.72</v>
      </c>
    </row>
    <row r="9" spans="1:9" x14ac:dyDescent="0.2">
      <c r="A9" s="10"/>
      <c r="B9" s="18" t="s">
        <v>62</v>
      </c>
      <c r="C9" s="19">
        <v>-193.06</v>
      </c>
      <c r="D9" s="20">
        <v>-366.11</v>
      </c>
      <c r="E9" s="20"/>
      <c r="F9" s="19"/>
      <c r="G9" s="20"/>
      <c r="H9" s="20"/>
      <c r="I9" s="21"/>
    </row>
    <row r="10" spans="1:9" x14ac:dyDescent="0.2">
      <c r="A10" s="10"/>
      <c r="B10" s="18" t="s">
        <v>13</v>
      </c>
      <c r="C10" s="19">
        <v>-100</v>
      </c>
      <c r="D10" s="20"/>
      <c r="E10" s="20"/>
      <c r="F10" s="19"/>
      <c r="G10" s="20"/>
      <c r="H10" s="20"/>
      <c r="I10" s="21"/>
    </row>
    <row r="11" spans="1:9" x14ac:dyDescent="0.2">
      <c r="A11" s="10"/>
      <c r="B11" s="18" t="s">
        <v>17</v>
      </c>
      <c r="C11" s="19">
        <v>-540.14</v>
      </c>
      <c r="D11" s="20">
        <v>-651.33000000000004</v>
      </c>
      <c r="E11" s="20"/>
      <c r="F11" s="19"/>
      <c r="G11" s="20"/>
      <c r="H11" s="20"/>
      <c r="I11" s="21"/>
    </row>
    <row r="12" spans="1:9" x14ac:dyDescent="0.2">
      <c r="A12" s="10"/>
      <c r="B12" s="18" t="s">
        <v>33</v>
      </c>
      <c r="C12" s="19">
        <v>-618.18999999999994</v>
      </c>
      <c r="D12" s="20">
        <v>-636.46</v>
      </c>
      <c r="E12" s="20">
        <v>-546.04</v>
      </c>
      <c r="F12" s="19">
        <v>-546.04</v>
      </c>
      <c r="G12" s="20">
        <v>-546.04</v>
      </c>
      <c r="H12" s="20">
        <v>-546.04</v>
      </c>
      <c r="I12" s="21"/>
    </row>
    <row r="13" spans="1:9" x14ac:dyDescent="0.2">
      <c r="A13" s="10"/>
      <c r="B13" s="18" t="s">
        <v>80</v>
      </c>
      <c r="C13" s="19">
        <v>-366</v>
      </c>
      <c r="D13" s="20">
        <v>-55.73</v>
      </c>
      <c r="E13" s="20"/>
      <c r="F13" s="19"/>
      <c r="G13" s="20"/>
      <c r="H13" s="20"/>
      <c r="I13" s="21"/>
    </row>
    <row r="14" spans="1:9" x14ac:dyDescent="0.2">
      <c r="A14" s="10"/>
      <c r="B14" s="18" t="s">
        <v>25</v>
      </c>
      <c r="C14" s="19">
        <v>-698.4</v>
      </c>
      <c r="D14" s="20">
        <v>-276.12</v>
      </c>
      <c r="E14" s="20"/>
      <c r="F14" s="19"/>
      <c r="G14" s="20"/>
      <c r="H14" s="20"/>
      <c r="I14" s="21"/>
    </row>
    <row r="15" spans="1:9" x14ac:dyDescent="0.2">
      <c r="A15" s="10"/>
      <c r="B15" s="18" t="s">
        <v>30</v>
      </c>
      <c r="C15" s="19">
        <v>-541.37</v>
      </c>
      <c r="D15" s="20">
        <v>-243.99</v>
      </c>
      <c r="E15" s="20"/>
      <c r="F15" s="19"/>
      <c r="G15" s="20"/>
      <c r="H15" s="20"/>
      <c r="I15" s="21"/>
    </row>
    <row r="16" spans="1:9" ht="15.75" customHeight="1" x14ac:dyDescent="0.2">
      <c r="A16" s="12" t="s">
        <v>89</v>
      </c>
      <c r="B16" s="7"/>
      <c r="C16" s="15">
        <v>-3428.45</v>
      </c>
      <c r="D16" s="16">
        <v>-2466.42</v>
      </c>
      <c r="E16" s="16">
        <v>-600.76</v>
      </c>
      <c r="F16" s="15">
        <v>-600.76</v>
      </c>
      <c r="G16" s="16">
        <v>-600.76</v>
      </c>
      <c r="H16" s="16">
        <v>-600.76</v>
      </c>
      <c r="I16" s="17">
        <v>-54.72</v>
      </c>
    </row>
    <row r="17" spans="1:9" ht="15.75" customHeight="1" x14ac:dyDescent="0.2">
      <c r="A17" s="22" t="s">
        <v>91</v>
      </c>
      <c r="B17" s="23"/>
      <c r="C17" s="24">
        <v>1380.4499999999994</v>
      </c>
      <c r="D17" s="25">
        <v>5337.9900000000007</v>
      </c>
      <c r="E17" s="25">
        <v>-600.76</v>
      </c>
      <c r="F17" s="24">
        <v>-600.76</v>
      </c>
      <c r="G17" s="25">
        <v>-600.76</v>
      </c>
      <c r="H17" s="25">
        <v>-600.76</v>
      </c>
      <c r="I17" s="26">
        <v>-54.72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Database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Engel Moura</cp:lastModifiedBy>
  <dcterms:modified xsi:type="dcterms:W3CDTF">2025-11-29T20:18:44Z</dcterms:modified>
</cp:coreProperties>
</file>