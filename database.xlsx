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base" sheetId="1" r:id="rId4"/>
    <sheet state="visible" name="Resumo" sheetId="2" r:id="rId5"/>
  </sheets>
  <definedNames>
    <definedName hidden="1" localSheetId="0" name="_xlnm._FilterDatabase">Database!$A$1:$K$84</definedName>
  </definedNames>
  <calcPr/>
  <pivotCaches>
    <pivotCache cacheId="0" r:id="rId6"/>
  </pivotCaches>
</workbook>
</file>

<file path=xl/sharedStrings.xml><?xml version="1.0" encoding="utf-8"?>
<sst xmlns="http://schemas.openxmlformats.org/spreadsheetml/2006/main" count="565" uniqueCount="92">
  <si>
    <t>Data</t>
  </si>
  <si>
    <t>Rec/Des</t>
  </si>
  <si>
    <t>Tipo</t>
  </si>
  <si>
    <t>Categoria</t>
  </si>
  <si>
    <t>Subcategoria</t>
  </si>
  <si>
    <t>Valor</t>
  </si>
  <si>
    <t>Conta</t>
  </si>
  <si>
    <t>Subconta</t>
  </si>
  <si>
    <t>Descrição</t>
  </si>
  <si>
    <t>Mês</t>
  </si>
  <si>
    <t>Ano</t>
  </si>
  <si>
    <t>Despesa</t>
  </si>
  <si>
    <t>Fixo</t>
  </si>
  <si>
    <t>Cuidado Pessoal</t>
  </si>
  <si>
    <t>Corte de Cabelo</t>
  </si>
  <si>
    <t>Contas à Pagar</t>
  </si>
  <si>
    <t>Cartão de crédito Bradesco</t>
  </si>
  <si>
    <t>Educação</t>
  </si>
  <si>
    <t>Cursos</t>
  </si>
  <si>
    <t>Cartão de crédito Nubank</t>
  </si>
  <si>
    <t>MBA</t>
  </si>
  <si>
    <t>Receita</t>
  </si>
  <si>
    <t>Salário</t>
  </si>
  <si>
    <t>Conta Corrente</t>
  </si>
  <si>
    <t>Nubank</t>
  </si>
  <si>
    <t>Serviços</t>
  </si>
  <si>
    <t>Google One</t>
  </si>
  <si>
    <t>Microsoft365</t>
  </si>
  <si>
    <t>Plano Telefônico</t>
  </si>
  <si>
    <t>Spotify</t>
  </si>
  <si>
    <t>Transporte</t>
  </si>
  <si>
    <t>Combustível</t>
  </si>
  <si>
    <t>Variável</t>
  </si>
  <si>
    <t>Lazer</t>
  </si>
  <si>
    <t>Viagens</t>
  </si>
  <si>
    <t>Parcela 7/12</t>
  </si>
  <si>
    <t>Parcela 8/12</t>
  </si>
  <si>
    <t>Parcela 9/12</t>
  </si>
  <si>
    <t>Parcela 10/12</t>
  </si>
  <si>
    <t>Parcela 11/12</t>
  </si>
  <si>
    <t>Parcela 12/12</t>
  </si>
  <si>
    <t>Parcela 05/10</t>
  </si>
  <si>
    <t>Parcela 06/10</t>
  </si>
  <si>
    <t>Parcela 07/10</t>
  </si>
  <si>
    <t>Parcela 08/10</t>
  </si>
  <si>
    <t>Parcela 09/10</t>
  </si>
  <si>
    <t>Parcela 10/10</t>
  </si>
  <si>
    <t>IPVA</t>
  </si>
  <si>
    <t>IPVA Jeep parcela 11/12</t>
  </si>
  <si>
    <t>IPVA Jeep parcela 12/12</t>
  </si>
  <si>
    <t>Aquisições</t>
  </si>
  <si>
    <t>Utilitários</t>
  </si>
  <si>
    <t>Mochila Parcela 1/7</t>
  </si>
  <si>
    <t>Mochila Parcela 2/7</t>
  </si>
  <si>
    <t>Mochila Parcela 3/7</t>
  </si>
  <si>
    <t>Mochila Parcela 4/7</t>
  </si>
  <si>
    <t>Mochila Parcela 5/7</t>
  </si>
  <si>
    <t>Mochila Parcela 6/7</t>
  </si>
  <si>
    <t>Mochila Parcela 7/7</t>
  </si>
  <si>
    <t>Eletrônicos</t>
  </si>
  <si>
    <t>Galaxy Fit 3</t>
  </si>
  <si>
    <t>Custo transação no exterior</t>
  </si>
  <si>
    <t>Consumo</t>
  </si>
  <si>
    <t>Delivery</t>
  </si>
  <si>
    <t>Pizza despedida de solteiro Pedro</t>
  </si>
  <si>
    <t>Parte pizza Eduardo</t>
  </si>
  <si>
    <t>Parte pizza Pai</t>
  </si>
  <si>
    <t>Parte pizza Digo</t>
  </si>
  <si>
    <t>Farmácia</t>
  </si>
  <si>
    <t>Lanchonete</t>
  </si>
  <si>
    <t>Mercado</t>
  </si>
  <si>
    <t>Alfajor Paraguay</t>
  </si>
  <si>
    <t>Coca-cola</t>
  </si>
  <si>
    <t>Aulas</t>
  </si>
  <si>
    <t>Aula Espanhol - Valor da aula</t>
  </si>
  <si>
    <t>Aula Espanhol - Taxas de cambio</t>
  </si>
  <si>
    <t>Livros</t>
  </si>
  <si>
    <t>Data Science do Zero</t>
  </si>
  <si>
    <t>Futebol</t>
  </si>
  <si>
    <t>Jogos</t>
  </si>
  <si>
    <t>Outros</t>
  </si>
  <si>
    <t>Presentes</t>
  </si>
  <si>
    <t>Veterinário</t>
  </si>
  <si>
    <t>Internet</t>
  </si>
  <si>
    <t>Roupas e Calçados</t>
  </si>
  <si>
    <t>Camisa para o casamento da Gabi</t>
  </si>
  <si>
    <t>Rolês</t>
  </si>
  <si>
    <t>Role após o casamento da Gabi</t>
  </si>
  <si>
    <t>SUM de Valor</t>
  </si>
  <si>
    <t>Receita Total</t>
  </si>
  <si>
    <t>Despesa Total</t>
  </si>
  <si>
    <t>Total geral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</si>
</sst>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"/>
    <numFmt numFmtId="165" formatCode="_([$R$ -416]* #,##0.00_);_([$R$ -416]* \(#,##0.00\);_([$R$ -416]* &quot;-&quot;??_);_(@_)"/>
    <numFmt numFmtId="166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Font="1"/>
    <xf borderId="0" fillId="0" fontId="1" numFmtId="165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Database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84" sheet="Database"/>
  </cacheSource>
  <cacheFields>
    <cacheField name="Data" numFmtId="164">
      <sharedItems containsSemiMixedTypes="0" containsDate="1" containsString="0">
        <d v="2025-10-08T00:00:00Z"/>
        <d v="2025-10-10T00:00:00Z"/>
        <d v="2025-11-10T00:00:00Z"/>
        <d v="2025-10-30T00:00:00Z"/>
        <d v="2025-10-06T00:00:00Z"/>
        <d v="2025-11-06T00:00:00Z"/>
        <d v="2025-10-17T00:00:00Z"/>
        <d v="2025-11-17T00:00:00Z"/>
        <d v="2025-10-12T00:00:00Z"/>
        <d v="2025-11-11T00:00:00Z"/>
        <d v="2025-10-04T00:00:00Z"/>
        <d v="2025-10-19T00:00:00Z"/>
        <d v="2025-10-27T00:00:00Z"/>
        <d v="2025-11-27T00:00:00Z"/>
        <d v="2025-12-27T00:00:00Z"/>
        <d v="2026-01-27T00:00:00Z"/>
        <d v="2026-02-27T00:00:00Z"/>
        <d v="2026-03-27T00:00:00Z"/>
        <d v="2025-11-04T00:00:00Z"/>
        <d v="2025-12-04T00:00:00Z"/>
        <d v="2026-01-04T00:00:00Z"/>
        <d v="2026-02-04T00:00:00Z"/>
        <d v="2026-03-04T00:00:00Z"/>
        <d v="2025-10-01T00:00:00Z"/>
        <d v="2025-11-01T00:00:00Z"/>
        <d v="2025-10-05T00:00:00Z"/>
        <d v="2025-11-05T00:00:00Z"/>
        <d v="2025-12-05T00:00:00Z"/>
        <d v="2026-01-05T00:00:00Z"/>
        <d v="2026-02-05T00:00:00Z"/>
        <d v="2026-03-05T00:00:00Z"/>
        <d v="2026-04-05T00:00:00Z"/>
        <d v="2025-10-20T00:00:00Z"/>
        <d v="2025-11-02T00:00:00Z"/>
        <d v="2025-11-08T00:00:00Z"/>
        <d v="2025-10-28T00:00:00Z"/>
        <d v="2025-11-03T00:00:00Z"/>
        <d v="2025-10-18T00:00:00Z"/>
        <d v="2025-11-18T00:00:00Z"/>
        <d v="2025-11-09T00:00:00Z"/>
        <d v="2025-11-07T00:00:00Z"/>
        <d v="2025-10-16T00:00:00Z"/>
        <d v="2025-11-15T00:00:00Z"/>
        <d v="2025-11-19T00:00:00Z"/>
        <d v="2025-11-21T00:00:00Z"/>
        <d v="2025-11-22T00:00:00Z"/>
        <d v="2025-11-25T00:00:00Z"/>
      </sharedItems>
    </cacheField>
    <cacheField name="Rec/Des" numFmtId="0">
      <sharedItems>
        <s v="Despesa"/>
        <s v="Receita"/>
      </sharedItems>
    </cacheField>
    <cacheField name="Tipo" numFmtId="0">
      <sharedItems>
        <s v="Fixo"/>
        <s v="Variável"/>
      </sharedItems>
    </cacheField>
    <cacheField name="Categoria" numFmtId="0">
      <sharedItems>
        <s v="Cuidado Pessoal"/>
        <s v="Educação"/>
        <s v="Salário"/>
        <s v="Serviços"/>
        <s v="Transporte"/>
        <s v="Lazer"/>
        <s v="Aquisições"/>
        <s v="Consumo"/>
        <s v="Outros"/>
      </sharedItems>
    </cacheField>
    <cacheField name="Subcategoria" numFmtId="0">
      <sharedItems>
        <s v="Corte de Cabelo"/>
        <s v="Cursos"/>
        <s v="Salário"/>
        <s v="Google One"/>
        <s v="Microsoft365"/>
        <s v="Plano Telefônico"/>
        <s v="Spotify"/>
        <s v="Combustível"/>
        <s v="Viagens"/>
        <s v="IPVA"/>
        <s v="Utilitários"/>
        <s v="Eletrônicos"/>
        <s v="Delivery"/>
        <s v="Farmácia"/>
        <s v="Lanchonete"/>
        <s v="Mercado"/>
        <s v="Aulas"/>
        <s v="Livros"/>
        <s v="Futebol"/>
        <s v="Jogos"/>
        <s v="Outros"/>
        <s v="Presentes"/>
        <s v="Veterinário"/>
        <s v="Internet"/>
        <s v="Roupas e Calçados"/>
        <s v="Rolês"/>
      </sharedItems>
    </cacheField>
    <cacheField name="Valor" numFmtId="165">
      <sharedItems containsSemiMixedTypes="0" containsString="0" containsNumber="1">
        <n v="-100.0"/>
        <n v="-508.09"/>
        <n v="4808.9"/>
        <n v="-4.5"/>
        <n v="-599.0"/>
        <n v="-54.0"/>
        <n v="-40.9"/>
        <n v="-50.0"/>
        <n v="-131.05"/>
        <n v="-177.0"/>
        <n v="-110.67"/>
        <n v="-229.5"/>
        <n v="-316.54"/>
        <n v="-133.32"/>
        <n v="-54.72"/>
        <n v="-305.64"/>
        <n v="-0.23"/>
        <n v="-10.7"/>
        <n v="-57.87"/>
        <n v="-214.0"/>
        <n v="35.0"/>
        <n v="45.0"/>
        <n v="34.0"/>
        <n v="-32.15"/>
        <n v="-144.51"/>
        <n v="-16.99"/>
        <n v="-40.53"/>
        <n v="-15.8"/>
        <n v="-18.99"/>
        <n v="-41.94"/>
        <n v="-12.99"/>
        <n v="-6.99"/>
        <n v="-6.68"/>
        <n v="-12.0"/>
        <n v="-13.0"/>
        <n v="-13.99"/>
        <n v="-12.37"/>
        <n v="-30.97"/>
        <n v="-1.08"/>
        <n v="-71.62"/>
        <n v="-10.0"/>
        <n v="-62.15"/>
        <n v="-14.87"/>
        <n v="-29.84"/>
        <n v="-35.71"/>
        <n v="-55.73"/>
        <n v="-366.0"/>
        <n v="-122.72"/>
        <n v="-181.96"/>
        <n v="-114.0"/>
        <n v="-39.0"/>
        <n v="-9.89"/>
        <n v="-144.97"/>
        <n v="-49.46"/>
        <n v="4733.0"/>
        <n v="3071.41"/>
      </sharedItems>
    </cacheField>
    <cacheField name="Conta" numFmtId="0">
      <sharedItems>
        <s v="Contas à Pagar"/>
        <s v="Conta Corrente"/>
      </sharedItems>
    </cacheField>
    <cacheField name="Subconta" numFmtId="0">
      <sharedItems>
        <s v="Cartão de crédito Bradesco"/>
        <s v="Cartão de crédito Nubank"/>
        <s v="Nubank"/>
      </sharedItems>
    </cacheField>
    <cacheField name="Descrição" numFmtId="0">
      <sharedItems containsBlank="1">
        <m/>
        <s v="MBA"/>
        <s v="Parcela 7/12"/>
        <s v="Parcela 8/12"/>
        <s v="Parcela 9/12"/>
        <s v="Parcela 10/12"/>
        <s v="Parcela 11/12"/>
        <s v="Parcela 12/12"/>
        <s v="Parcela 05/10"/>
        <s v="Parcela 06/10"/>
        <s v="Parcela 07/10"/>
        <s v="Parcela 08/10"/>
        <s v="Parcela 09/10"/>
        <s v="Parcela 10/10"/>
        <s v="IPVA Jeep parcela 11/12"/>
        <s v="IPVA Jeep parcela 12/12"/>
        <s v="Mochila Parcela 1/7"/>
        <s v="Mochila Parcela 2/7"/>
        <s v="Mochila Parcela 3/7"/>
        <s v="Mochila Parcela 4/7"/>
        <s v="Mochila Parcela 5/7"/>
        <s v="Mochila Parcela 6/7"/>
        <s v="Mochila Parcela 7/7"/>
        <s v="Galaxy Fit 3"/>
        <s v="Custo transação no exterior"/>
        <s v="Pizza despedida de solteiro Pedro"/>
        <s v="Parte pizza Eduardo"/>
        <s v="Parte pizza Pai"/>
        <s v="Parte pizza Digo"/>
        <s v="Alfajor Paraguay"/>
        <s v="Coca-cola"/>
        <s v="Aula Espanhol - Valor da aula"/>
        <s v="Aula Espanhol - Taxas de cambio"/>
        <s v="Data Science do Zero"/>
        <s v="Camisa para o casamento da Gabi"/>
        <s v="Role após o casamento da Gabi"/>
      </sharedItems>
    </cacheField>
    <cacheField name="Mês" numFmtId="0">
      <sharedItems containsSemiMixedTypes="0" containsString="0" containsNumber="1" containsInteger="1">
        <n v="10.0"/>
        <n v="11.0"/>
        <n v="12.0"/>
        <n v="1.0"/>
        <n v="2.0"/>
        <n v="3.0"/>
        <n v="4.0"/>
      </sharedItems>
    </cacheField>
    <cacheField name="Ano" numFmtId="0">
      <sharedItems containsSemiMixedTypes="0" containsString="0" containsNumber="1" containsInteger="1">
        <n v="2025.0"/>
        <n v="2026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Resumo" cacheId="0" dataCaption="" colGrandTotals="0" compact="0" compactData="0">
  <location ref="A3:I17" firstHeaderRow="0" firstDataRow="2" firstDataCol="2" rowPageCount="1" colPageCount="1"/>
  <pivotFields>
    <pivotField name="Data" axis="axisPag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h="1" x="43"/>
        <item h="1" x="44"/>
        <item h="1" x="45"/>
        <item h="1" x="46"/>
        <item t="default"/>
      </items>
    </pivotField>
    <pivotField name="Rec/Des" axis="axisRow" compact="0" outline="0" multipleItemSelectionAllowed="1" showAll="0" sortType="descending">
      <items>
        <item x="1"/>
        <item x="0"/>
        <item t="default"/>
      </items>
    </pivotField>
    <pivotField name="Tipo" compact="0" outline="0" multipleItemSelectionAllowed="1" showAll="0">
      <items>
        <item x="0"/>
        <item x="1"/>
        <item t="default"/>
      </items>
    </pivotField>
    <pivotField name="Categoria" axis="axisRow" compact="0" outline="0" multipleItemSelectionAllowed="1" showAll="0" sortType="ascending">
      <items>
        <item x="6"/>
        <item x="7"/>
        <item x="0"/>
        <item x="1"/>
        <item x="5"/>
        <item x="8"/>
        <item x="2"/>
        <item x="3"/>
        <item x="4"/>
        <item t="default"/>
      </items>
    </pivotField>
    <pivotField name="Subcategori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Valor" dataField="1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Conta" compact="0" outline="0" multipleItemSelectionAllowed="1" showAll="0">
      <items>
        <item x="0"/>
        <item x="1"/>
        <item t="default"/>
      </items>
    </pivotField>
    <pivotField name="Subconta" compact="0" outline="0" multipleItemSelectionAllowed="1" showAll="0">
      <items>
        <item x="0"/>
        <item x="1"/>
        <item x="2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Mês" axis="axisCol" compact="0" outline="0" multipleItemSelectionAllowed="1" showAll="0" sortType="ascending">
      <items>
        <item x="3"/>
        <item x="4"/>
        <item x="5"/>
        <item x="6"/>
        <item x="0"/>
        <item x="1"/>
        <item x="2"/>
        <item t="default"/>
      </items>
    </pivotField>
    <pivotField name="Ano" axis="axisCol" compact="0" outline="0" multipleItemSelectionAllowed="1" showAll="0" sortType="ascending" defaultSubtotal="0">
      <items>
        <item x="0"/>
        <item x="1"/>
      </items>
    </pivotField>
  </pivotFields>
  <rowFields>
    <field x="1"/>
    <field x="3"/>
  </rowFields>
  <colFields>
    <field x="10"/>
    <field x="9"/>
  </colFields>
  <pageFields>
    <pageField fld="0"/>
  </pageFields>
  <dataFields>
    <dataField name="SUM of Valor" fld="5" baseField="0"/>
  </dataFields>
</pivotTableDefinition>
</file>

<file path=xl/tables/table1.xml><?xml version="1.0" encoding="utf-8"?>
<table xmlns="http://schemas.openxmlformats.org/spreadsheetml/2006/main" ref="A1:K84" displayName="Database" name="Database" id="1">
  <autoFilter ref="$A$1:$K$84">
    <filterColumn colId="3">
      <filters>
        <filter val="Salário"/>
        <filter val="Consumo"/>
        <filter val="Outros"/>
      </filters>
    </filterColumn>
  </autoFilter>
  <tableColumns count="11">
    <tableColumn name="Data" id="1"/>
    <tableColumn name="Rec/Des" id="2"/>
    <tableColumn name="Tipo" id="3"/>
    <tableColumn name="Categoria" id="4"/>
    <tableColumn name="Subcategoria" id="5"/>
    <tableColumn name="Valor" id="6"/>
    <tableColumn name="Conta" id="7"/>
    <tableColumn name="Subconta" id="8"/>
    <tableColumn name="Descrição" id="9"/>
    <tableColumn name="Mês" id="10"/>
    <tableColumn name="Ano" id="11"/>
  </tableColumns>
  <tableStyleInfo name="Databas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88"/>
    <col customWidth="1" min="2" max="2" width="17.38"/>
    <col customWidth="1" min="3" max="3" width="14.88"/>
    <col customWidth="1" min="4" max="4" width="26.5"/>
    <col customWidth="1" min="5" max="5" width="29.5"/>
    <col customWidth="1" min="6" max="6" width="15.88"/>
    <col customWidth="1" min="7" max="7" width="21.0"/>
    <col customWidth="1" min="8" max="8" width="26.13"/>
    <col customWidth="1" min="9" max="9" width="33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</row>
    <row r="2" ht="22.5" hidden="1" customHeight="1">
      <c r="A2" s="3">
        <v>45938.0</v>
      </c>
      <c r="B2" s="4" t="s">
        <v>11</v>
      </c>
      <c r="C2" s="4" t="s">
        <v>12</v>
      </c>
      <c r="D2" s="4" t="s">
        <v>13</v>
      </c>
      <c r="E2" s="4" t="s">
        <v>14</v>
      </c>
      <c r="F2" s="5">
        <v>-100.0</v>
      </c>
      <c r="G2" s="6" t="s">
        <v>15</v>
      </c>
      <c r="H2" s="6" t="s">
        <v>16</v>
      </c>
      <c r="J2" s="7">
        <f t="shared" ref="J2:J84" si="1">MONTH(A2)</f>
        <v>10</v>
      </c>
      <c r="K2" s="7">
        <f t="shared" ref="K2:K84" si="2">YEAR(A2)</f>
        <v>2025</v>
      </c>
    </row>
    <row r="3" ht="22.5" hidden="1" customHeight="1">
      <c r="A3" s="8">
        <v>45940.0</v>
      </c>
      <c r="B3" s="4" t="s">
        <v>11</v>
      </c>
      <c r="C3" s="4" t="s">
        <v>12</v>
      </c>
      <c r="D3" s="4" t="s">
        <v>17</v>
      </c>
      <c r="E3" s="4" t="s">
        <v>18</v>
      </c>
      <c r="F3" s="5">
        <v>-508.09</v>
      </c>
      <c r="G3" s="6" t="s">
        <v>15</v>
      </c>
      <c r="H3" s="6" t="s">
        <v>19</v>
      </c>
      <c r="I3" s="6" t="s">
        <v>20</v>
      </c>
      <c r="J3" s="9">
        <f t="shared" si="1"/>
        <v>10</v>
      </c>
      <c r="K3" s="9">
        <f t="shared" si="2"/>
        <v>2025</v>
      </c>
    </row>
    <row r="4" ht="22.5" hidden="1" customHeight="1">
      <c r="A4" s="10">
        <v>45971.0</v>
      </c>
      <c r="B4" s="11" t="s">
        <v>11</v>
      </c>
      <c r="C4" s="11" t="s">
        <v>12</v>
      </c>
      <c r="D4" s="11" t="s">
        <v>17</v>
      </c>
      <c r="E4" s="4" t="s">
        <v>18</v>
      </c>
      <c r="F4" s="12">
        <v>-508.09</v>
      </c>
      <c r="G4" s="6" t="s">
        <v>15</v>
      </c>
      <c r="H4" s="6" t="s">
        <v>19</v>
      </c>
      <c r="I4" s="6" t="s">
        <v>20</v>
      </c>
      <c r="J4" s="9">
        <f t="shared" si="1"/>
        <v>11</v>
      </c>
      <c r="K4" s="9">
        <f t="shared" si="2"/>
        <v>2025</v>
      </c>
    </row>
    <row r="5" ht="22.5" customHeight="1">
      <c r="A5" s="8">
        <v>45960.0</v>
      </c>
      <c r="B5" s="4" t="s">
        <v>21</v>
      </c>
      <c r="C5" s="4" t="s">
        <v>12</v>
      </c>
      <c r="D5" s="4" t="s">
        <v>22</v>
      </c>
      <c r="E5" s="4" t="s">
        <v>22</v>
      </c>
      <c r="F5" s="5">
        <v>4808.9</v>
      </c>
      <c r="G5" s="6" t="s">
        <v>23</v>
      </c>
      <c r="H5" s="6" t="s">
        <v>24</v>
      </c>
      <c r="J5" s="7">
        <f t="shared" si="1"/>
        <v>10</v>
      </c>
      <c r="K5" s="7">
        <f t="shared" si="2"/>
        <v>2025</v>
      </c>
    </row>
    <row r="6" ht="22.5" hidden="1" customHeight="1">
      <c r="A6" s="3">
        <v>45936.0</v>
      </c>
      <c r="B6" s="4" t="s">
        <v>11</v>
      </c>
      <c r="C6" s="4" t="s">
        <v>12</v>
      </c>
      <c r="D6" s="4" t="s">
        <v>25</v>
      </c>
      <c r="E6" s="4" t="s">
        <v>26</v>
      </c>
      <c r="F6" s="5">
        <v>-4.5</v>
      </c>
      <c r="G6" s="6" t="s">
        <v>15</v>
      </c>
      <c r="H6" s="6" t="s">
        <v>19</v>
      </c>
      <c r="J6" s="7">
        <f t="shared" si="1"/>
        <v>10</v>
      </c>
      <c r="K6" s="7">
        <f t="shared" si="2"/>
        <v>2025</v>
      </c>
    </row>
    <row r="7" ht="22.5" hidden="1" customHeight="1">
      <c r="A7" s="10">
        <v>45967.0</v>
      </c>
      <c r="B7" s="11" t="s">
        <v>11</v>
      </c>
      <c r="C7" s="11" t="s">
        <v>12</v>
      </c>
      <c r="D7" s="11" t="s">
        <v>25</v>
      </c>
      <c r="E7" s="11" t="s">
        <v>26</v>
      </c>
      <c r="F7" s="12">
        <v>-4.5</v>
      </c>
      <c r="G7" s="6" t="s">
        <v>15</v>
      </c>
      <c r="H7" s="6" t="s">
        <v>19</v>
      </c>
      <c r="I7" s="7"/>
      <c r="J7" s="7">
        <f t="shared" si="1"/>
        <v>11</v>
      </c>
      <c r="K7" s="7">
        <f t="shared" si="2"/>
        <v>2025</v>
      </c>
    </row>
    <row r="8" ht="22.5" hidden="1" customHeight="1">
      <c r="A8" s="3">
        <v>45938.0</v>
      </c>
      <c r="B8" s="4" t="s">
        <v>11</v>
      </c>
      <c r="C8" s="4" t="s">
        <v>12</v>
      </c>
      <c r="D8" s="4" t="s">
        <v>25</v>
      </c>
      <c r="E8" s="4" t="s">
        <v>27</v>
      </c>
      <c r="F8" s="5">
        <v>-599.0</v>
      </c>
      <c r="G8" s="6" t="s">
        <v>15</v>
      </c>
      <c r="H8" s="6" t="s">
        <v>16</v>
      </c>
      <c r="J8" s="7">
        <f t="shared" si="1"/>
        <v>10</v>
      </c>
      <c r="K8" s="7">
        <f t="shared" si="2"/>
        <v>2025</v>
      </c>
    </row>
    <row r="9" ht="22.5" hidden="1" customHeight="1">
      <c r="A9" s="8">
        <v>45947.0</v>
      </c>
      <c r="B9" s="4" t="s">
        <v>11</v>
      </c>
      <c r="C9" s="4" t="s">
        <v>12</v>
      </c>
      <c r="D9" s="4" t="s">
        <v>25</v>
      </c>
      <c r="E9" s="4" t="s">
        <v>28</v>
      </c>
      <c r="F9" s="5">
        <v>-54.0</v>
      </c>
      <c r="G9" s="6" t="s">
        <v>15</v>
      </c>
      <c r="H9" s="6" t="s">
        <v>19</v>
      </c>
      <c r="J9" s="7">
        <f t="shared" si="1"/>
        <v>10</v>
      </c>
      <c r="K9" s="7">
        <f t="shared" si="2"/>
        <v>2025</v>
      </c>
    </row>
    <row r="10" ht="22.5" hidden="1" customHeight="1">
      <c r="A10" s="10">
        <v>45978.0</v>
      </c>
      <c r="B10" s="11" t="s">
        <v>11</v>
      </c>
      <c r="C10" s="11" t="s">
        <v>12</v>
      </c>
      <c r="D10" s="11" t="s">
        <v>25</v>
      </c>
      <c r="E10" s="11" t="s">
        <v>28</v>
      </c>
      <c r="F10" s="12">
        <v>-54.0</v>
      </c>
      <c r="G10" s="6" t="s">
        <v>15</v>
      </c>
      <c r="H10" s="6" t="s">
        <v>19</v>
      </c>
      <c r="I10" s="13"/>
      <c r="J10" s="9">
        <f t="shared" si="1"/>
        <v>11</v>
      </c>
      <c r="K10" s="9">
        <f t="shared" si="2"/>
        <v>2025</v>
      </c>
    </row>
    <row r="11" ht="22.5" hidden="1" customHeight="1">
      <c r="A11" s="8">
        <v>45942.0</v>
      </c>
      <c r="B11" s="4" t="s">
        <v>11</v>
      </c>
      <c r="C11" s="4" t="s">
        <v>12</v>
      </c>
      <c r="D11" s="4" t="s">
        <v>25</v>
      </c>
      <c r="E11" s="4" t="s">
        <v>29</v>
      </c>
      <c r="F11" s="5">
        <v>-40.9</v>
      </c>
      <c r="G11" s="6" t="s">
        <v>15</v>
      </c>
      <c r="H11" s="6" t="s">
        <v>19</v>
      </c>
      <c r="J11" s="7">
        <f t="shared" si="1"/>
        <v>10</v>
      </c>
      <c r="K11" s="7">
        <f t="shared" si="2"/>
        <v>2025</v>
      </c>
    </row>
    <row r="12" ht="22.5" hidden="1" customHeight="1">
      <c r="A12" s="10">
        <v>45972.0</v>
      </c>
      <c r="B12" s="11" t="s">
        <v>11</v>
      </c>
      <c r="C12" s="11" t="s">
        <v>12</v>
      </c>
      <c r="D12" s="11" t="s">
        <v>25</v>
      </c>
      <c r="E12" s="11" t="s">
        <v>29</v>
      </c>
      <c r="F12" s="12">
        <v>-40.9</v>
      </c>
      <c r="G12" s="6" t="s">
        <v>15</v>
      </c>
      <c r="H12" s="6" t="s">
        <v>19</v>
      </c>
      <c r="I12" s="13"/>
      <c r="J12" s="9">
        <f t="shared" si="1"/>
        <v>11</v>
      </c>
      <c r="K12" s="9">
        <f t="shared" si="2"/>
        <v>2025</v>
      </c>
    </row>
    <row r="13" ht="22.5" hidden="1" customHeight="1">
      <c r="A13" s="3">
        <v>45934.0</v>
      </c>
      <c r="B13" s="4" t="s">
        <v>11</v>
      </c>
      <c r="C13" s="11" t="s">
        <v>12</v>
      </c>
      <c r="D13" s="4" t="s">
        <v>30</v>
      </c>
      <c r="E13" s="4" t="s">
        <v>31</v>
      </c>
      <c r="F13" s="5">
        <v>-50.0</v>
      </c>
      <c r="G13" s="6" t="s">
        <v>15</v>
      </c>
      <c r="H13" s="6" t="s">
        <v>16</v>
      </c>
      <c r="J13" s="7">
        <f t="shared" si="1"/>
        <v>10</v>
      </c>
      <c r="K13" s="7">
        <f t="shared" si="2"/>
        <v>2025</v>
      </c>
    </row>
    <row r="14" ht="22.5" hidden="1" customHeight="1">
      <c r="A14" s="8">
        <v>45940.0</v>
      </c>
      <c r="B14" s="4" t="s">
        <v>11</v>
      </c>
      <c r="C14" s="11" t="s">
        <v>12</v>
      </c>
      <c r="D14" s="4" t="s">
        <v>30</v>
      </c>
      <c r="E14" s="4" t="s">
        <v>31</v>
      </c>
      <c r="F14" s="5">
        <v>-131.05</v>
      </c>
      <c r="G14" s="6" t="s">
        <v>15</v>
      </c>
      <c r="H14" s="6" t="s">
        <v>16</v>
      </c>
      <c r="J14" s="7">
        <f t="shared" si="1"/>
        <v>10</v>
      </c>
      <c r="K14" s="7">
        <f t="shared" si="2"/>
        <v>2025</v>
      </c>
    </row>
    <row r="15" ht="22.5" hidden="1" customHeight="1">
      <c r="A15" s="8">
        <v>45949.0</v>
      </c>
      <c r="B15" s="4" t="s">
        <v>11</v>
      </c>
      <c r="C15" s="11" t="s">
        <v>12</v>
      </c>
      <c r="D15" s="4" t="s">
        <v>30</v>
      </c>
      <c r="E15" s="4" t="s">
        <v>31</v>
      </c>
      <c r="F15" s="5">
        <v>-50.0</v>
      </c>
      <c r="G15" s="6" t="s">
        <v>15</v>
      </c>
      <c r="H15" s="6" t="s">
        <v>16</v>
      </c>
      <c r="J15" s="7">
        <f t="shared" si="1"/>
        <v>10</v>
      </c>
      <c r="K15" s="7">
        <f t="shared" si="2"/>
        <v>2025</v>
      </c>
    </row>
    <row r="16" ht="22.5" hidden="1" customHeight="1">
      <c r="A16" s="8">
        <v>45960.0</v>
      </c>
      <c r="B16" s="4" t="s">
        <v>11</v>
      </c>
      <c r="C16" s="11" t="s">
        <v>12</v>
      </c>
      <c r="D16" s="4" t="s">
        <v>30</v>
      </c>
      <c r="E16" s="4" t="s">
        <v>31</v>
      </c>
      <c r="F16" s="5">
        <v>-177.0</v>
      </c>
      <c r="G16" s="6" t="s">
        <v>23</v>
      </c>
      <c r="H16" s="6" t="s">
        <v>24</v>
      </c>
      <c r="J16" s="7">
        <f t="shared" si="1"/>
        <v>10</v>
      </c>
      <c r="K16" s="7">
        <f t="shared" si="2"/>
        <v>2025</v>
      </c>
    </row>
    <row r="17" ht="22.5" hidden="1" customHeight="1">
      <c r="A17" s="10">
        <v>45972.0</v>
      </c>
      <c r="B17" s="11" t="s">
        <v>11</v>
      </c>
      <c r="C17" s="11" t="s">
        <v>12</v>
      </c>
      <c r="D17" s="11" t="s">
        <v>30</v>
      </c>
      <c r="E17" s="11" t="s">
        <v>31</v>
      </c>
      <c r="F17" s="12">
        <v>-110.67</v>
      </c>
      <c r="G17" s="6" t="s">
        <v>15</v>
      </c>
      <c r="H17" s="6" t="s">
        <v>19</v>
      </c>
      <c r="I17" s="13"/>
      <c r="J17" s="9">
        <f t="shared" si="1"/>
        <v>11</v>
      </c>
      <c r="K17" s="9">
        <f t="shared" si="2"/>
        <v>2025</v>
      </c>
    </row>
    <row r="18" ht="22.5" hidden="1" customHeight="1">
      <c r="A18" s="8">
        <v>45957.0</v>
      </c>
      <c r="B18" s="4" t="s">
        <v>11</v>
      </c>
      <c r="C18" s="4" t="s">
        <v>32</v>
      </c>
      <c r="D18" s="4" t="s">
        <v>33</v>
      </c>
      <c r="E18" s="4" t="s">
        <v>34</v>
      </c>
      <c r="F18" s="5">
        <v>-229.5</v>
      </c>
      <c r="G18" s="6" t="s">
        <v>15</v>
      </c>
      <c r="H18" s="6" t="s">
        <v>16</v>
      </c>
      <c r="I18" s="6" t="s">
        <v>35</v>
      </c>
      <c r="J18" s="9">
        <f t="shared" si="1"/>
        <v>10</v>
      </c>
      <c r="K18" s="9">
        <f t="shared" si="2"/>
        <v>2025</v>
      </c>
    </row>
    <row r="19" ht="22.5" hidden="1" customHeight="1">
      <c r="A19" s="8">
        <v>45988.0</v>
      </c>
      <c r="B19" s="4" t="s">
        <v>11</v>
      </c>
      <c r="C19" s="4" t="s">
        <v>32</v>
      </c>
      <c r="D19" s="4" t="s">
        <v>33</v>
      </c>
      <c r="E19" s="4" t="s">
        <v>34</v>
      </c>
      <c r="F19" s="5">
        <v>-229.5</v>
      </c>
      <c r="G19" s="6" t="s">
        <v>15</v>
      </c>
      <c r="H19" s="6" t="s">
        <v>16</v>
      </c>
      <c r="I19" s="6" t="s">
        <v>36</v>
      </c>
      <c r="J19" s="9">
        <f t="shared" si="1"/>
        <v>11</v>
      </c>
      <c r="K19" s="9">
        <f t="shared" si="2"/>
        <v>2025</v>
      </c>
    </row>
    <row r="20" ht="22.5" hidden="1" customHeight="1">
      <c r="A20" s="8">
        <v>46018.0</v>
      </c>
      <c r="B20" s="4" t="s">
        <v>11</v>
      </c>
      <c r="C20" s="4" t="s">
        <v>32</v>
      </c>
      <c r="D20" s="4" t="s">
        <v>33</v>
      </c>
      <c r="E20" s="4" t="s">
        <v>34</v>
      </c>
      <c r="F20" s="5">
        <v>-229.5</v>
      </c>
      <c r="G20" s="6" t="s">
        <v>15</v>
      </c>
      <c r="H20" s="6" t="s">
        <v>16</v>
      </c>
      <c r="I20" s="6" t="s">
        <v>37</v>
      </c>
      <c r="J20" s="9">
        <f t="shared" si="1"/>
        <v>12</v>
      </c>
      <c r="K20" s="9">
        <f t="shared" si="2"/>
        <v>2025</v>
      </c>
    </row>
    <row r="21" ht="22.5" hidden="1" customHeight="1">
      <c r="A21" s="3">
        <v>46049.0</v>
      </c>
      <c r="B21" s="4" t="s">
        <v>11</v>
      </c>
      <c r="C21" s="4" t="s">
        <v>32</v>
      </c>
      <c r="D21" s="4" t="s">
        <v>33</v>
      </c>
      <c r="E21" s="4" t="s">
        <v>34</v>
      </c>
      <c r="F21" s="5">
        <v>-229.5</v>
      </c>
      <c r="G21" s="6" t="s">
        <v>15</v>
      </c>
      <c r="H21" s="6" t="s">
        <v>16</v>
      </c>
      <c r="I21" s="6" t="s">
        <v>38</v>
      </c>
      <c r="J21" s="9">
        <f t="shared" si="1"/>
        <v>1</v>
      </c>
      <c r="K21" s="9">
        <f t="shared" si="2"/>
        <v>2026</v>
      </c>
    </row>
    <row r="22" ht="22.5" hidden="1" customHeight="1">
      <c r="A22" s="3">
        <v>46080.0</v>
      </c>
      <c r="B22" s="4" t="s">
        <v>11</v>
      </c>
      <c r="C22" s="4" t="s">
        <v>32</v>
      </c>
      <c r="D22" s="4" t="s">
        <v>33</v>
      </c>
      <c r="E22" s="4" t="s">
        <v>34</v>
      </c>
      <c r="F22" s="5">
        <v>-229.5</v>
      </c>
      <c r="G22" s="6" t="s">
        <v>15</v>
      </c>
      <c r="H22" s="6" t="s">
        <v>16</v>
      </c>
      <c r="I22" s="6" t="s">
        <v>39</v>
      </c>
      <c r="J22" s="9">
        <f t="shared" si="1"/>
        <v>2</v>
      </c>
      <c r="K22" s="9">
        <f t="shared" si="2"/>
        <v>2026</v>
      </c>
    </row>
    <row r="23" ht="22.5" hidden="1" customHeight="1">
      <c r="A23" s="3">
        <v>46108.0</v>
      </c>
      <c r="B23" s="4" t="s">
        <v>11</v>
      </c>
      <c r="C23" s="4" t="s">
        <v>32</v>
      </c>
      <c r="D23" s="4" t="s">
        <v>33</v>
      </c>
      <c r="E23" s="4" t="s">
        <v>34</v>
      </c>
      <c r="F23" s="5">
        <v>-229.5</v>
      </c>
      <c r="G23" s="6" t="s">
        <v>15</v>
      </c>
      <c r="H23" s="6" t="s">
        <v>16</v>
      </c>
      <c r="I23" s="6" t="s">
        <v>40</v>
      </c>
      <c r="J23" s="9">
        <f t="shared" si="1"/>
        <v>3</v>
      </c>
      <c r="K23" s="9">
        <f t="shared" si="2"/>
        <v>2026</v>
      </c>
    </row>
    <row r="24" ht="22.5" hidden="1" customHeight="1">
      <c r="A24" s="3">
        <v>45934.0</v>
      </c>
      <c r="B24" s="4" t="s">
        <v>11</v>
      </c>
      <c r="C24" s="4" t="s">
        <v>32</v>
      </c>
      <c r="D24" s="4" t="s">
        <v>33</v>
      </c>
      <c r="E24" s="4" t="s">
        <v>34</v>
      </c>
      <c r="F24" s="5">
        <v>-316.54</v>
      </c>
      <c r="G24" s="6" t="s">
        <v>15</v>
      </c>
      <c r="H24" s="6" t="s">
        <v>16</v>
      </c>
      <c r="I24" s="6" t="s">
        <v>41</v>
      </c>
      <c r="J24" s="9">
        <f t="shared" si="1"/>
        <v>10</v>
      </c>
      <c r="K24" s="9">
        <f t="shared" si="2"/>
        <v>2025</v>
      </c>
    </row>
    <row r="25" ht="22.5" hidden="1" customHeight="1">
      <c r="A25" s="3">
        <v>45965.0</v>
      </c>
      <c r="B25" s="4" t="s">
        <v>11</v>
      </c>
      <c r="C25" s="4" t="s">
        <v>32</v>
      </c>
      <c r="D25" s="4" t="s">
        <v>33</v>
      </c>
      <c r="E25" s="4" t="s">
        <v>34</v>
      </c>
      <c r="F25" s="5">
        <v>-316.54</v>
      </c>
      <c r="G25" s="6" t="s">
        <v>15</v>
      </c>
      <c r="H25" s="6" t="s">
        <v>16</v>
      </c>
      <c r="I25" s="6" t="s">
        <v>42</v>
      </c>
      <c r="J25" s="9">
        <f t="shared" si="1"/>
        <v>11</v>
      </c>
      <c r="K25" s="9">
        <f t="shared" si="2"/>
        <v>2025</v>
      </c>
    </row>
    <row r="26" ht="22.5" hidden="1" customHeight="1">
      <c r="A26" s="3">
        <v>45995.0</v>
      </c>
      <c r="B26" s="4" t="s">
        <v>11</v>
      </c>
      <c r="C26" s="4" t="s">
        <v>32</v>
      </c>
      <c r="D26" s="4" t="s">
        <v>33</v>
      </c>
      <c r="E26" s="4" t="s">
        <v>34</v>
      </c>
      <c r="F26" s="5">
        <v>-316.54</v>
      </c>
      <c r="G26" s="6" t="s">
        <v>15</v>
      </c>
      <c r="H26" s="6" t="s">
        <v>16</v>
      </c>
      <c r="I26" s="6" t="s">
        <v>43</v>
      </c>
      <c r="J26" s="9">
        <f t="shared" si="1"/>
        <v>12</v>
      </c>
      <c r="K26" s="9">
        <f t="shared" si="2"/>
        <v>2025</v>
      </c>
    </row>
    <row r="27" ht="22.5" hidden="1" customHeight="1">
      <c r="A27" s="3">
        <v>46026.0</v>
      </c>
      <c r="B27" s="4" t="s">
        <v>11</v>
      </c>
      <c r="C27" s="4" t="s">
        <v>32</v>
      </c>
      <c r="D27" s="4" t="s">
        <v>33</v>
      </c>
      <c r="E27" s="4" t="s">
        <v>34</v>
      </c>
      <c r="F27" s="5">
        <v>-316.54</v>
      </c>
      <c r="G27" s="6" t="s">
        <v>15</v>
      </c>
      <c r="H27" s="6" t="s">
        <v>16</v>
      </c>
      <c r="I27" s="6" t="s">
        <v>44</v>
      </c>
      <c r="J27" s="9">
        <f t="shared" si="1"/>
        <v>1</v>
      </c>
      <c r="K27" s="9">
        <f t="shared" si="2"/>
        <v>2026</v>
      </c>
    </row>
    <row r="28" ht="22.5" hidden="1" customHeight="1">
      <c r="A28" s="3">
        <v>46057.0</v>
      </c>
      <c r="B28" s="4" t="s">
        <v>11</v>
      </c>
      <c r="C28" s="4" t="s">
        <v>32</v>
      </c>
      <c r="D28" s="4" t="s">
        <v>33</v>
      </c>
      <c r="E28" s="4" t="s">
        <v>34</v>
      </c>
      <c r="F28" s="5">
        <v>-316.54</v>
      </c>
      <c r="G28" s="6" t="s">
        <v>15</v>
      </c>
      <c r="H28" s="6" t="s">
        <v>16</v>
      </c>
      <c r="I28" s="6" t="s">
        <v>45</v>
      </c>
      <c r="J28" s="9">
        <f t="shared" si="1"/>
        <v>2</v>
      </c>
      <c r="K28" s="9">
        <f t="shared" si="2"/>
        <v>2026</v>
      </c>
    </row>
    <row r="29" ht="22.5" hidden="1" customHeight="1">
      <c r="A29" s="3">
        <v>46085.0</v>
      </c>
      <c r="B29" s="4" t="s">
        <v>11</v>
      </c>
      <c r="C29" s="4" t="s">
        <v>32</v>
      </c>
      <c r="D29" s="4" t="s">
        <v>33</v>
      </c>
      <c r="E29" s="4" t="s">
        <v>34</v>
      </c>
      <c r="F29" s="5">
        <v>-316.54</v>
      </c>
      <c r="G29" s="6" t="s">
        <v>15</v>
      </c>
      <c r="H29" s="6" t="s">
        <v>16</v>
      </c>
      <c r="I29" s="6" t="s">
        <v>46</v>
      </c>
      <c r="J29" s="9">
        <f t="shared" si="1"/>
        <v>3</v>
      </c>
      <c r="K29" s="9">
        <f t="shared" si="2"/>
        <v>2026</v>
      </c>
    </row>
    <row r="30" ht="22.5" hidden="1" customHeight="1">
      <c r="A30" s="3">
        <v>45931.0</v>
      </c>
      <c r="B30" s="4" t="s">
        <v>11</v>
      </c>
      <c r="C30" s="4" t="s">
        <v>32</v>
      </c>
      <c r="D30" s="4" t="s">
        <v>30</v>
      </c>
      <c r="E30" s="4" t="s">
        <v>47</v>
      </c>
      <c r="F30" s="5">
        <v>-133.32</v>
      </c>
      <c r="G30" s="6" t="s">
        <v>15</v>
      </c>
      <c r="H30" s="6" t="s">
        <v>16</v>
      </c>
      <c r="I30" s="6" t="s">
        <v>48</v>
      </c>
      <c r="J30" s="9">
        <f t="shared" si="1"/>
        <v>10</v>
      </c>
      <c r="K30" s="9">
        <f t="shared" si="2"/>
        <v>2025</v>
      </c>
    </row>
    <row r="31" ht="22.5" hidden="1" customHeight="1">
      <c r="A31" s="3">
        <v>45962.0</v>
      </c>
      <c r="B31" s="4" t="s">
        <v>11</v>
      </c>
      <c r="C31" s="4" t="s">
        <v>32</v>
      </c>
      <c r="D31" s="4" t="s">
        <v>30</v>
      </c>
      <c r="E31" s="4" t="s">
        <v>47</v>
      </c>
      <c r="F31" s="5">
        <v>-133.32</v>
      </c>
      <c r="G31" s="6" t="s">
        <v>15</v>
      </c>
      <c r="H31" s="6" t="s">
        <v>16</v>
      </c>
      <c r="I31" s="6" t="s">
        <v>49</v>
      </c>
      <c r="J31" s="9">
        <f t="shared" si="1"/>
        <v>11</v>
      </c>
      <c r="K31" s="9">
        <f t="shared" si="2"/>
        <v>2025</v>
      </c>
    </row>
    <row r="32" ht="22.5" hidden="1" customHeight="1">
      <c r="A32" s="3">
        <v>45935.0</v>
      </c>
      <c r="B32" s="4" t="s">
        <v>11</v>
      </c>
      <c r="C32" s="4" t="s">
        <v>32</v>
      </c>
      <c r="D32" s="4" t="s">
        <v>50</v>
      </c>
      <c r="E32" s="4" t="s">
        <v>51</v>
      </c>
      <c r="F32" s="5">
        <v>-54.72</v>
      </c>
      <c r="G32" s="6" t="s">
        <v>15</v>
      </c>
      <c r="H32" s="6" t="s">
        <v>16</v>
      </c>
      <c r="I32" s="6" t="s">
        <v>52</v>
      </c>
      <c r="J32" s="9">
        <f t="shared" si="1"/>
        <v>10</v>
      </c>
      <c r="K32" s="9">
        <f t="shared" si="2"/>
        <v>2025</v>
      </c>
    </row>
    <row r="33" ht="22.5" hidden="1" customHeight="1">
      <c r="A33" s="3">
        <v>45966.0</v>
      </c>
      <c r="B33" s="4" t="s">
        <v>11</v>
      </c>
      <c r="C33" s="4" t="s">
        <v>32</v>
      </c>
      <c r="D33" s="4" t="s">
        <v>50</v>
      </c>
      <c r="E33" s="4" t="s">
        <v>51</v>
      </c>
      <c r="F33" s="5">
        <v>-54.72</v>
      </c>
      <c r="G33" s="6" t="s">
        <v>15</v>
      </c>
      <c r="H33" s="6" t="s">
        <v>16</v>
      </c>
      <c r="I33" s="6" t="s">
        <v>53</v>
      </c>
      <c r="J33" s="9">
        <f t="shared" si="1"/>
        <v>11</v>
      </c>
      <c r="K33" s="9">
        <f t="shared" si="2"/>
        <v>2025</v>
      </c>
    </row>
    <row r="34" ht="22.5" hidden="1" customHeight="1">
      <c r="A34" s="3">
        <v>45996.0</v>
      </c>
      <c r="B34" s="4" t="s">
        <v>11</v>
      </c>
      <c r="C34" s="4" t="s">
        <v>32</v>
      </c>
      <c r="D34" s="4" t="s">
        <v>50</v>
      </c>
      <c r="E34" s="4" t="s">
        <v>51</v>
      </c>
      <c r="F34" s="5">
        <v>-54.72</v>
      </c>
      <c r="G34" s="6" t="s">
        <v>15</v>
      </c>
      <c r="H34" s="6" t="s">
        <v>16</v>
      </c>
      <c r="I34" s="6" t="s">
        <v>54</v>
      </c>
      <c r="J34" s="9">
        <f t="shared" si="1"/>
        <v>12</v>
      </c>
      <c r="K34" s="9">
        <f t="shared" si="2"/>
        <v>2025</v>
      </c>
    </row>
    <row r="35" ht="22.5" hidden="1" customHeight="1">
      <c r="A35" s="3">
        <v>46027.0</v>
      </c>
      <c r="B35" s="4" t="s">
        <v>11</v>
      </c>
      <c r="C35" s="4" t="s">
        <v>32</v>
      </c>
      <c r="D35" s="4" t="s">
        <v>50</v>
      </c>
      <c r="E35" s="4" t="s">
        <v>51</v>
      </c>
      <c r="F35" s="5">
        <v>-54.72</v>
      </c>
      <c r="G35" s="6" t="s">
        <v>15</v>
      </c>
      <c r="H35" s="6" t="s">
        <v>16</v>
      </c>
      <c r="I35" s="6" t="s">
        <v>55</v>
      </c>
      <c r="J35" s="9">
        <f t="shared" si="1"/>
        <v>1</v>
      </c>
      <c r="K35" s="9">
        <f t="shared" si="2"/>
        <v>2026</v>
      </c>
    </row>
    <row r="36" ht="22.5" hidden="1" customHeight="1">
      <c r="A36" s="3">
        <v>46058.0</v>
      </c>
      <c r="B36" s="4" t="s">
        <v>11</v>
      </c>
      <c r="C36" s="4" t="s">
        <v>32</v>
      </c>
      <c r="D36" s="4" t="s">
        <v>50</v>
      </c>
      <c r="E36" s="4" t="s">
        <v>51</v>
      </c>
      <c r="F36" s="5">
        <v>-54.72</v>
      </c>
      <c r="G36" s="6" t="s">
        <v>15</v>
      </c>
      <c r="H36" s="6" t="s">
        <v>16</v>
      </c>
      <c r="I36" s="6" t="s">
        <v>56</v>
      </c>
      <c r="J36" s="9">
        <f t="shared" si="1"/>
        <v>2</v>
      </c>
      <c r="K36" s="9">
        <f t="shared" si="2"/>
        <v>2026</v>
      </c>
    </row>
    <row r="37" ht="22.5" hidden="1" customHeight="1">
      <c r="A37" s="3">
        <v>46086.0</v>
      </c>
      <c r="B37" s="4" t="s">
        <v>11</v>
      </c>
      <c r="C37" s="4" t="s">
        <v>32</v>
      </c>
      <c r="D37" s="4" t="s">
        <v>50</v>
      </c>
      <c r="E37" s="4" t="s">
        <v>51</v>
      </c>
      <c r="F37" s="5">
        <v>-54.72</v>
      </c>
      <c r="G37" s="6" t="s">
        <v>15</v>
      </c>
      <c r="H37" s="6" t="s">
        <v>16</v>
      </c>
      <c r="I37" s="6" t="s">
        <v>57</v>
      </c>
      <c r="J37" s="9">
        <f t="shared" si="1"/>
        <v>3</v>
      </c>
      <c r="K37" s="9">
        <f t="shared" si="2"/>
        <v>2026</v>
      </c>
    </row>
    <row r="38" ht="22.5" hidden="1" customHeight="1">
      <c r="A38" s="3">
        <v>46117.0</v>
      </c>
      <c r="B38" s="4" t="s">
        <v>11</v>
      </c>
      <c r="C38" s="4" t="s">
        <v>32</v>
      </c>
      <c r="D38" s="4" t="s">
        <v>50</v>
      </c>
      <c r="E38" s="4" t="s">
        <v>51</v>
      </c>
      <c r="F38" s="5">
        <v>-54.72</v>
      </c>
      <c r="G38" s="6" t="s">
        <v>15</v>
      </c>
      <c r="H38" s="6" t="s">
        <v>16</v>
      </c>
      <c r="I38" s="6" t="s">
        <v>58</v>
      </c>
      <c r="J38" s="9">
        <f t="shared" si="1"/>
        <v>4</v>
      </c>
      <c r="K38" s="9">
        <f t="shared" si="2"/>
        <v>2026</v>
      </c>
    </row>
    <row r="39" ht="22.5" hidden="1" customHeight="1">
      <c r="A39" s="8">
        <v>45950.0</v>
      </c>
      <c r="B39" s="4" t="s">
        <v>11</v>
      </c>
      <c r="C39" s="4" t="s">
        <v>32</v>
      </c>
      <c r="D39" s="4" t="s">
        <v>50</v>
      </c>
      <c r="E39" s="4" t="s">
        <v>59</v>
      </c>
      <c r="F39" s="5">
        <v>-305.64</v>
      </c>
      <c r="G39" s="6" t="s">
        <v>15</v>
      </c>
      <c r="H39" s="6" t="s">
        <v>16</v>
      </c>
      <c r="I39" s="6" t="s">
        <v>60</v>
      </c>
      <c r="J39" s="9">
        <f t="shared" si="1"/>
        <v>10</v>
      </c>
      <c r="K39" s="9">
        <f t="shared" si="2"/>
        <v>2025</v>
      </c>
    </row>
    <row r="40" ht="22.5" hidden="1" customHeight="1">
      <c r="A40" s="8">
        <v>45950.0</v>
      </c>
      <c r="B40" s="4" t="s">
        <v>11</v>
      </c>
      <c r="C40" s="4" t="s">
        <v>32</v>
      </c>
      <c r="D40" s="4" t="s">
        <v>50</v>
      </c>
      <c r="E40" s="4" t="s">
        <v>59</v>
      </c>
      <c r="F40" s="5">
        <v>-0.23</v>
      </c>
      <c r="G40" s="6" t="s">
        <v>15</v>
      </c>
      <c r="H40" s="6" t="s">
        <v>16</v>
      </c>
      <c r="I40" s="6" t="s">
        <v>61</v>
      </c>
      <c r="J40" s="9">
        <f t="shared" si="1"/>
        <v>10</v>
      </c>
      <c r="K40" s="9">
        <f t="shared" si="2"/>
        <v>2025</v>
      </c>
    </row>
    <row r="41" ht="22.5" hidden="1" customHeight="1">
      <c r="A41" s="8">
        <v>45950.0</v>
      </c>
      <c r="B41" s="4" t="s">
        <v>11</v>
      </c>
      <c r="C41" s="4" t="s">
        <v>32</v>
      </c>
      <c r="D41" s="4" t="s">
        <v>50</v>
      </c>
      <c r="E41" s="4" t="s">
        <v>59</v>
      </c>
      <c r="F41" s="5">
        <v>-10.7</v>
      </c>
      <c r="G41" s="6" t="s">
        <v>15</v>
      </c>
      <c r="H41" s="6" t="s">
        <v>16</v>
      </c>
      <c r="I41" s="6" t="s">
        <v>61</v>
      </c>
      <c r="J41" s="9">
        <f t="shared" si="1"/>
        <v>10</v>
      </c>
      <c r="K41" s="9">
        <f t="shared" si="2"/>
        <v>2025</v>
      </c>
    </row>
    <row r="42" ht="22.5" customHeight="1">
      <c r="A42" s="3">
        <v>45963.0</v>
      </c>
      <c r="B42" s="4" t="s">
        <v>11</v>
      </c>
      <c r="C42" s="4" t="s">
        <v>32</v>
      </c>
      <c r="D42" s="4" t="s">
        <v>62</v>
      </c>
      <c r="E42" s="4" t="s">
        <v>63</v>
      </c>
      <c r="F42" s="5">
        <v>-57.87</v>
      </c>
      <c r="G42" s="6" t="s">
        <v>15</v>
      </c>
      <c r="H42" s="6" t="s">
        <v>19</v>
      </c>
      <c r="J42" s="7">
        <f t="shared" si="1"/>
        <v>11</v>
      </c>
      <c r="K42" s="7">
        <f t="shared" si="2"/>
        <v>2025</v>
      </c>
    </row>
    <row r="43" ht="22.5" customHeight="1">
      <c r="A43" s="10">
        <v>45969.0</v>
      </c>
      <c r="B43" s="11" t="s">
        <v>11</v>
      </c>
      <c r="C43" s="11" t="s">
        <v>32</v>
      </c>
      <c r="D43" s="11" t="s">
        <v>62</v>
      </c>
      <c r="E43" s="11" t="s">
        <v>63</v>
      </c>
      <c r="F43" s="12">
        <v>-214.0</v>
      </c>
      <c r="G43" s="6" t="s">
        <v>15</v>
      </c>
      <c r="H43" s="6" t="s">
        <v>19</v>
      </c>
      <c r="I43" s="13" t="s">
        <v>64</v>
      </c>
      <c r="J43" s="9">
        <f t="shared" si="1"/>
        <v>11</v>
      </c>
      <c r="K43" s="9">
        <f t="shared" si="2"/>
        <v>2025</v>
      </c>
    </row>
    <row r="44" ht="22.5" customHeight="1">
      <c r="A44" s="10">
        <v>45969.0</v>
      </c>
      <c r="B44" s="11" t="s">
        <v>11</v>
      </c>
      <c r="C44" s="11" t="s">
        <v>32</v>
      </c>
      <c r="D44" s="11" t="s">
        <v>62</v>
      </c>
      <c r="E44" s="11" t="s">
        <v>63</v>
      </c>
      <c r="F44" s="12">
        <v>35.0</v>
      </c>
      <c r="G44" s="6" t="s">
        <v>23</v>
      </c>
      <c r="H44" s="6" t="s">
        <v>24</v>
      </c>
      <c r="I44" s="13" t="s">
        <v>65</v>
      </c>
      <c r="J44" s="9">
        <f t="shared" si="1"/>
        <v>11</v>
      </c>
      <c r="K44" s="9">
        <f t="shared" si="2"/>
        <v>2025</v>
      </c>
    </row>
    <row r="45" ht="22.5" customHeight="1">
      <c r="A45" s="10">
        <v>45969.0</v>
      </c>
      <c r="B45" s="11" t="s">
        <v>11</v>
      </c>
      <c r="C45" s="11" t="s">
        <v>32</v>
      </c>
      <c r="D45" s="11" t="s">
        <v>62</v>
      </c>
      <c r="E45" s="11" t="s">
        <v>63</v>
      </c>
      <c r="F45" s="12">
        <v>45.0</v>
      </c>
      <c r="G45" s="6" t="s">
        <v>23</v>
      </c>
      <c r="H45" s="6" t="s">
        <v>24</v>
      </c>
      <c r="I45" s="13" t="s">
        <v>66</v>
      </c>
      <c r="J45" s="9">
        <f t="shared" si="1"/>
        <v>11</v>
      </c>
      <c r="K45" s="9">
        <f t="shared" si="2"/>
        <v>2025</v>
      </c>
    </row>
    <row r="46" ht="22.5" customHeight="1">
      <c r="A46" s="10">
        <v>45969.0</v>
      </c>
      <c r="B46" s="11" t="s">
        <v>11</v>
      </c>
      <c r="C46" s="11" t="s">
        <v>32</v>
      </c>
      <c r="D46" s="11" t="s">
        <v>62</v>
      </c>
      <c r="E46" s="11" t="s">
        <v>63</v>
      </c>
      <c r="F46" s="12">
        <v>34.0</v>
      </c>
      <c r="G46" s="6" t="s">
        <v>23</v>
      </c>
      <c r="H46" s="6" t="s">
        <v>24</v>
      </c>
      <c r="I46" s="13" t="s">
        <v>67</v>
      </c>
      <c r="J46" s="9">
        <f t="shared" si="1"/>
        <v>11</v>
      </c>
      <c r="K46" s="9">
        <f t="shared" si="2"/>
        <v>2025</v>
      </c>
    </row>
    <row r="47" ht="22.5" customHeight="1">
      <c r="A47" s="8">
        <v>45958.0</v>
      </c>
      <c r="B47" s="4" t="s">
        <v>11</v>
      </c>
      <c r="C47" s="4" t="s">
        <v>32</v>
      </c>
      <c r="D47" s="4" t="s">
        <v>62</v>
      </c>
      <c r="E47" s="4" t="s">
        <v>68</v>
      </c>
      <c r="F47" s="5">
        <v>-32.15</v>
      </c>
      <c r="G47" s="6" t="s">
        <v>15</v>
      </c>
      <c r="H47" s="6" t="s">
        <v>16</v>
      </c>
      <c r="J47" s="7">
        <f t="shared" si="1"/>
        <v>10</v>
      </c>
      <c r="K47" s="7">
        <f t="shared" si="2"/>
        <v>2025</v>
      </c>
    </row>
    <row r="48" ht="22.5" customHeight="1">
      <c r="A48" s="3">
        <v>45964.0</v>
      </c>
      <c r="B48" s="4" t="s">
        <v>11</v>
      </c>
      <c r="C48" s="4" t="s">
        <v>32</v>
      </c>
      <c r="D48" s="4" t="s">
        <v>62</v>
      </c>
      <c r="E48" s="4" t="s">
        <v>68</v>
      </c>
      <c r="F48" s="5">
        <v>-144.51</v>
      </c>
      <c r="G48" s="6" t="s">
        <v>15</v>
      </c>
      <c r="H48" s="6" t="s">
        <v>19</v>
      </c>
      <c r="J48" s="7">
        <f t="shared" si="1"/>
        <v>11</v>
      </c>
      <c r="K48" s="7">
        <f t="shared" si="2"/>
        <v>2025</v>
      </c>
    </row>
    <row r="49" ht="22.5" customHeight="1">
      <c r="A49" s="8">
        <v>45949.0</v>
      </c>
      <c r="B49" s="4" t="s">
        <v>11</v>
      </c>
      <c r="C49" s="4" t="s">
        <v>32</v>
      </c>
      <c r="D49" s="4" t="s">
        <v>62</v>
      </c>
      <c r="E49" s="4" t="s">
        <v>69</v>
      </c>
      <c r="F49" s="5">
        <v>-16.99</v>
      </c>
      <c r="G49" s="6" t="s">
        <v>15</v>
      </c>
      <c r="H49" s="6" t="s">
        <v>16</v>
      </c>
      <c r="J49" s="7">
        <f t="shared" si="1"/>
        <v>10</v>
      </c>
      <c r="K49" s="7">
        <f t="shared" si="2"/>
        <v>2025</v>
      </c>
    </row>
    <row r="50" ht="22.5" customHeight="1">
      <c r="A50" s="3">
        <v>45934.0</v>
      </c>
      <c r="B50" s="4" t="s">
        <v>11</v>
      </c>
      <c r="C50" s="4" t="s">
        <v>32</v>
      </c>
      <c r="D50" s="4" t="s">
        <v>62</v>
      </c>
      <c r="E50" s="4" t="s">
        <v>70</v>
      </c>
      <c r="F50" s="5">
        <v>-40.53</v>
      </c>
      <c r="G50" s="6" t="s">
        <v>15</v>
      </c>
      <c r="H50" s="6" t="s">
        <v>16</v>
      </c>
      <c r="J50" s="7">
        <f t="shared" si="1"/>
        <v>10</v>
      </c>
      <c r="K50" s="7">
        <f t="shared" si="2"/>
        <v>2025</v>
      </c>
    </row>
    <row r="51" ht="22.5" customHeight="1">
      <c r="A51" s="3">
        <v>45936.0</v>
      </c>
      <c r="B51" s="4" t="s">
        <v>11</v>
      </c>
      <c r="C51" s="4" t="s">
        <v>32</v>
      </c>
      <c r="D51" s="4" t="s">
        <v>62</v>
      </c>
      <c r="E51" s="4" t="s">
        <v>70</v>
      </c>
      <c r="F51" s="5">
        <v>-15.8</v>
      </c>
      <c r="G51" s="6" t="s">
        <v>15</v>
      </c>
      <c r="H51" s="6" t="s">
        <v>16</v>
      </c>
      <c r="J51" s="7">
        <f t="shared" si="1"/>
        <v>10</v>
      </c>
      <c r="K51" s="7">
        <f t="shared" si="2"/>
        <v>2025</v>
      </c>
    </row>
    <row r="52" ht="22.5" customHeight="1">
      <c r="A52" s="8">
        <v>45940.0</v>
      </c>
      <c r="B52" s="4" t="s">
        <v>11</v>
      </c>
      <c r="C52" s="4" t="s">
        <v>32</v>
      </c>
      <c r="D52" s="4" t="s">
        <v>62</v>
      </c>
      <c r="E52" s="4" t="s">
        <v>70</v>
      </c>
      <c r="F52" s="5">
        <v>-18.99</v>
      </c>
      <c r="G52" s="6" t="s">
        <v>15</v>
      </c>
      <c r="H52" s="6" t="s">
        <v>16</v>
      </c>
      <c r="J52" s="7">
        <f t="shared" si="1"/>
        <v>10</v>
      </c>
      <c r="K52" s="7">
        <f t="shared" si="2"/>
        <v>2025</v>
      </c>
    </row>
    <row r="53" ht="22.5" customHeight="1">
      <c r="A53" s="8">
        <v>45940.0</v>
      </c>
      <c r="B53" s="4" t="s">
        <v>11</v>
      </c>
      <c r="C53" s="4" t="s">
        <v>32</v>
      </c>
      <c r="D53" s="4" t="s">
        <v>62</v>
      </c>
      <c r="E53" s="4" t="s">
        <v>70</v>
      </c>
      <c r="F53" s="5">
        <v>-41.94</v>
      </c>
      <c r="G53" s="6" t="s">
        <v>15</v>
      </c>
      <c r="H53" s="6" t="s">
        <v>16</v>
      </c>
      <c r="J53" s="7">
        <f t="shared" si="1"/>
        <v>10</v>
      </c>
      <c r="K53" s="7">
        <f t="shared" si="2"/>
        <v>2025</v>
      </c>
    </row>
    <row r="54" ht="22.5" customHeight="1">
      <c r="A54" s="8">
        <v>45947.0</v>
      </c>
      <c r="B54" s="4" t="s">
        <v>11</v>
      </c>
      <c r="C54" s="4" t="s">
        <v>32</v>
      </c>
      <c r="D54" s="4" t="s">
        <v>62</v>
      </c>
      <c r="E54" s="4" t="s">
        <v>70</v>
      </c>
      <c r="F54" s="5">
        <v>-12.99</v>
      </c>
      <c r="G54" s="6" t="s">
        <v>15</v>
      </c>
      <c r="H54" s="6" t="s">
        <v>16</v>
      </c>
      <c r="J54" s="7">
        <f t="shared" si="1"/>
        <v>10</v>
      </c>
      <c r="K54" s="7">
        <f t="shared" si="2"/>
        <v>2025</v>
      </c>
    </row>
    <row r="55" ht="22.5" customHeight="1">
      <c r="A55" s="8">
        <v>45948.0</v>
      </c>
      <c r="B55" s="4" t="s">
        <v>11</v>
      </c>
      <c r="C55" s="4" t="s">
        <v>32</v>
      </c>
      <c r="D55" s="4" t="s">
        <v>62</v>
      </c>
      <c r="E55" s="4" t="s">
        <v>70</v>
      </c>
      <c r="F55" s="5">
        <v>-6.99</v>
      </c>
      <c r="G55" s="6" t="s">
        <v>15</v>
      </c>
      <c r="H55" s="6" t="s">
        <v>16</v>
      </c>
      <c r="J55" s="7">
        <f t="shared" si="1"/>
        <v>10</v>
      </c>
      <c r="K55" s="7">
        <f t="shared" si="2"/>
        <v>2025</v>
      </c>
    </row>
    <row r="56" ht="22.5" customHeight="1">
      <c r="A56" s="8">
        <v>45950.0</v>
      </c>
      <c r="B56" s="4" t="s">
        <v>11</v>
      </c>
      <c r="C56" s="4" t="s">
        <v>32</v>
      </c>
      <c r="D56" s="4" t="s">
        <v>62</v>
      </c>
      <c r="E56" s="4" t="s">
        <v>70</v>
      </c>
      <c r="F56" s="5">
        <v>-6.68</v>
      </c>
      <c r="G56" s="6" t="s">
        <v>15</v>
      </c>
      <c r="H56" s="6" t="s">
        <v>16</v>
      </c>
      <c r="I56" s="6" t="s">
        <v>71</v>
      </c>
      <c r="J56" s="9">
        <f t="shared" si="1"/>
        <v>10</v>
      </c>
      <c r="K56" s="9">
        <f t="shared" si="2"/>
        <v>2025</v>
      </c>
    </row>
    <row r="57" ht="22.5" customHeight="1">
      <c r="A57" s="3">
        <v>45962.0</v>
      </c>
      <c r="B57" s="4" t="s">
        <v>11</v>
      </c>
      <c r="C57" s="4" t="s">
        <v>32</v>
      </c>
      <c r="D57" s="4" t="s">
        <v>62</v>
      </c>
      <c r="E57" s="4" t="s">
        <v>70</v>
      </c>
      <c r="F57" s="5">
        <v>-12.0</v>
      </c>
      <c r="G57" s="6" t="s">
        <v>15</v>
      </c>
      <c r="H57" s="6" t="s">
        <v>19</v>
      </c>
      <c r="I57" s="6" t="s">
        <v>72</v>
      </c>
      <c r="J57" s="9">
        <f t="shared" si="1"/>
        <v>11</v>
      </c>
      <c r="K57" s="9">
        <f t="shared" si="2"/>
        <v>2025</v>
      </c>
    </row>
    <row r="58" ht="22.5" customHeight="1">
      <c r="A58" s="3">
        <v>45964.0</v>
      </c>
      <c r="B58" s="4" t="s">
        <v>11</v>
      </c>
      <c r="C58" s="4" t="s">
        <v>32</v>
      </c>
      <c r="D58" s="4" t="s">
        <v>62</v>
      </c>
      <c r="E58" s="4" t="s">
        <v>70</v>
      </c>
      <c r="F58" s="5">
        <v>-13.0</v>
      </c>
      <c r="G58" s="6" t="s">
        <v>15</v>
      </c>
      <c r="H58" s="6" t="s">
        <v>19</v>
      </c>
      <c r="J58" s="7">
        <f t="shared" si="1"/>
        <v>11</v>
      </c>
      <c r="K58" s="7">
        <f t="shared" si="2"/>
        <v>2025</v>
      </c>
    </row>
    <row r="59" ht="22.5" customHeight="1">
      <c r="A59" s="10">
        <v>45971.0</v>
      </c>
      <c r="B59" s="11" t="s">
        <v>11</v>
      </c>
      <c r="C59" s="11" t="s">
        <v>32</v>
      </c>
      <c r="D59" s="11" t="s">
        <v>62</v>
      </c>
      <c r="E59" s="11" t="s">
        <v>70</v>
      </c>
      <c r="F59" s="12">
        <v>-13.99</v>
      </c>
      <c r="G59" s="6" t="s">
        <v>15</v>
      </c>
      <c r="H59" s="6" t="s">
        <v>19</v>
      </c>
      <c r="I59" s="13"/>
      <c r="J59" s="9">
        <f t="shared" si="1"/>
        <v>11</v>
      </c>
      <c r="K59" s="9">
        <f t="shared" si="2"/>
        <v>2025</v>
      </c>
    </row>
    <row r="60" ht="22.5" customHeight="1">
      <c r="A60" s="10">
        <v>45978.0</v>
      </c>
      <c r="B60" s="11" t="s">
        <v>11</v>
      </c>
      <c r="C60" s="11" t="s">
        <v>32</v>
      </c>
      <c r="D60" s="11" t="s">
        <v>62</v>
      </c>
      <c r="E60" s="11" t="s">
        <v>70</v>
      </c>
      <c r="F60" s="12">
        <v>-12.37</v>
      </c>
      <c r="G60" s="6" t="s">
        <v>15</v>
      </c>
      <c r="H60" s="6" t="s">
        <v>19</v>
      </c>
      <c r="I60" s="13"/>
      <c r="J60" s="9">
        <f t="shared" si="1"/>
        <v>11</v>
      </c>
      <c r="K60" s="9">
        <f t="shared" si="2"/>
        <v>2025</v>
      </c>
    </row>
    <row r="61" ht="22.5" hidden="1" customHeight="1">
      <c r="A61" s="3">
        <v>45935.0</v>
      </c>
      <c r="B61" s="4" t="s">
        <v>11</v>
      </c>
      <c r="C61" s="4" t="s">
        <v>32</v>
      </c>
      <c r="D61" s="4" t="s">
        <v>17</v>
      </c>
      <c r="E61" s="4" t="s">
        <v>73</v>
      </c>
      <c r="F61" s="5">
        <v>-30.97</v>
      </c>
      <c r="G61" s="6" t="s">
        <v>15</v>
      </c>
      <c r="H61" s="6" t="s">
        <v>16</v>
      </c>
      <c r="I61" s="6" t="s">
        <v>74</v>
      </c>
      <c r="J61" s="9">
        <f t="shared" si="1"/>
        <v>10</v>
      </c>
      <c r="K61" s="9">
        <f t="shared" si="2"/>
        <v>2025</v>
      </c>
    </row>
    <row r="62" ht="22.5" hidden="1" customHeight="1">
      <c r="A62" s="3">
        <v>45935.0</v>
      </c>
      <c r="B62" s="4" t="s">
        <v>11</v>
      </c>
      <c r="C62" s="4" t="s">
        <v>32</v>
      </c>
      <c r="D62" s="4" t="s">
        <v>17</v>
      </c>
      <c r="E62" s="4" t="s">
        <v>73</v>
      </c>
      <c r="F62" s="5">
        <v>-1.08</v>
      </c>
      <c r="G62" s="6" t="s">
        <v>15</v>
      </c>
      <c r="H62" s="6" t="s">
        <v>16</v>
      </c>
      <c r="I62" s="6" t="s">
        <v>75</v>
      </c>
      <c r="J62" s="9">
        <f t="shared" si="1"/>
        <v>10</v>
      </c>
      <c r="K62" s="9">
        <f t="shared" si="2"/>
        <v>2025</v>
      </c>
    </row>
    <row r="63" ht="22.5" hidden="1" customHeight="1">
      <c r="A63" s="10">
        <v>45979.0</v>
      </c>
      <c r="B63" s="11" t="s">
        <v>11</v>
      </c>
      <c r="C63" s="11" t="s">
        <v>32</v>
      </c>
      <c r="D63" s="11" t="s">
        <v>17</v>
      </c>
      <c r="E63" s="11" t="s">
        <v>76</v>
      </c>
      <c r="F63" s="12">
        <v>-71.62</v>
      </c>
      <c r="G63" s="6" t="s">
        <v>15</v>
      </c>
      <c r="H63" s="6" t="s">
        <v>19</v>
      </c>
      <c r="I63" s="13" t="s">
        <v>77</v>
      </c>
      <c r="J63" s="9">
        <f t="shared" si="1"/>
        <v>11</v>
      </c>
      <c r="K63" s="9">
        <f t="shared" si="2"/>
        <v>2025</v>
      </c>
    </row>
    <row r="64" ht="22.5" hidden="1" customHeight="1">
      <c r="A64" s="8">
        <v>45960.0</v>
      </c>
      <c r="B64" s="4" t="s">
        <v>11</v>
      </c>
      <c r="C64" s="4" t="s">
        <v>32</v>
      </c>
      <c r="D64" s="4" t="s">
        <v>33</v>
      </c>
      <c r="E64" s="4" t="s">
        <v>78</v>
      </c>
      <c r="F64" s="5">
        <v>-10.0</v>
      </c>
      <c r="G64" s="6" t="s">
        <v>23</v>
      </c>
      <c r="H64" s="6" t="s">
        <v>24</v>
      </c>
      <c r="J64" s="7">
        <f t="shared" si="1"/>
        <v>10</v>
      </c>
      <c r="K64" s="7">
        <f t="shared" si="2"/>
        <v>2025</v>
      </c>
    </row>
    <row r="65" ht="22.5" hidden="1" customHeight="1">
      <c r="A65" s="10">
        <v>45970.0</v>
      </c>
      <c r="B65" s="11" t="s">
        <v>11</v>
      </c>
      <c r="C65" s="11" t="s">
        <v>32</v>
      </c>
      <c r="D65" s="11" t="s">
        <v>33</v>
      </c>
      <c r="E65" s="11" t="s">
        <v>78</v>
      </c>
      <c r="F65" s="12">
        <v>-10.0</v>
      </c>
      <c r="G65" s="6" t="s">
        <v>23</v>
      </c>
      <c r="H65" s="6" t="s">
        <v>24</v>
      </c>
      <c r="I65" s="13"/>
      <c r="J65" s="9">
        <f t="shared" si="1"/>
        <v>11</v>
      </c>
      <c r="K65" s="9">
        <f t="shared" si="2"/>
        <v>2025</v>
      </c>
    </row>
    <row r="66" ht="22.5" hidden="1" customHeight="1">
      <c r="A66" s="8">
        <v>45958.0</v>
      </c>
      <c r="B66" s="4" t="s">
        <v>11</v>
      </c>
      <c r="C66" s="4" t="s">
        <v>32</v>
      </c>
      <c r="D66" s="4" t="s">
        <v>33</v>
      </c>
      <c r="E66" s="4" t="s">
        <v>79</v>
      </c>
      <c r="F66" s="5">
        <v>-62.15</v>
      </c>
      <c r="G66" s="6" t="s">
        <v>15</v>
      </c>
      <c r="H66" s="6" t="s">
        <v>16</v>
      </c>
      <c r="J66" s="7">
        <f t="shared" si="1"/>
        <v>10</v>
      </c>
      <c r="K66" s="7">
        <f t="shared" si="2"/>
        <v>2025</v>
      </c>
    </row>
    <row r="67" ht="22.5" hidden="1" customHeight="1">
      <c r="A67" s="10">
        <v>45967.0</v>
      </c>
      <c r="B67" s="11" t="s">
        <v>11</v>
      </c>
      <c r="C67" s="11" t="s">
        <v>32</v>
      </c>
      <c r="D67" s="11" t="s">
        <v>33</v>
      </c>
      <c r="E67" s="11" t="s">
        <v>79</v>
      </c>
      <c r="F67" s="12">
        <v>-14.87</v>
      </c>
      <c r="G67" s="6" t="s">
        <v>15</v>
      </c>
      <c r="H67" s="6" t="s">
        <v>19</v>
      </c>
      <c r="I67" s="7"/>
      <c r="J67" s="7">
        <f t="shared" si="1"/>
        <v>11</v>
      </c>
      <c r="K67" s="7">
        <f t="shared" si="2"/>
        <v>2025</v>
      </c>
    </row>
    <row r="68" ht="22.5" hidden="1" customHeight="1">
      <c r="A68" s="10">
        <v>45968.0</v>
      </c>
      <c r="B68" s="11" t="s">
        <v>11</v>
      </c>
      <c r="C68" s="11" t="s">
        <v>32</v>
      </c>
      <c r="D68" s="11" t="s">
        <v>33</v>
      </c>
      <c r="E68" s="11" t="s">
        <v>80</v>
      </c>
      <c r="F68" s="12">
        <v>-29.84</v>
      </c>
      <c r="G68" s="6" t="s">
        <v>15</v>
      </c>
      <c r="H68" s="6" t="s">
        <v>19</v>
      </c>
      <c r="I68" s="7"/>
      <c r="J68" s="7">
        <f t="shared" si="1"/>
        <v>11</v>
      </c>
      <c r="K68" s="7">
        <f t="shared" si="2"/>
        <v>2025</v>
      </c>
    </row>
    <row r="69" ht="22.5" hidden="1" customHeight="1">
      <c r="A69" s="10">
        <v>45970.0</v>
      </c>
      <c r="B69" s="11" t="s">
        <v>11</v>
      </c>
      <c r="C69" s="11" t="s">
        <v>32</v>
      </c>
      <c r="D69" s="11" t="s">
        <v>33</v>
      </c>
      <c r="E69" s="11" t="s">
        <v>80</v>
      </c>
      <c r="F69" s="12">
        <v>-35.71</v>
      </c>
      <c r="G69" s="6" t="s">
        <v>15</v>
      </c>
      <c r="H69" s="6" t="s">
        <v>19</v>
      </c>
      <c r="I69" s="13"/>
      <c r="J69" s="9">
        <f t="shared" si="1"/>
        <v>11</v>
      </c>
      <c r="K69" s="9">
        <f t="shared" si="2"/>
        <v>2025</v>
      </c>
    </row>
    <row r="70" ht="22.5" customHeight="1">
      <c r="A70" s="3">
        <v>45964.0</v>
      </c>
      <c r="B70" s="4" t="s">
        <v>11</v>
      </c>
      <c r="C70" s="4" t="s">
        <v>32</v>
      </c>
      <c r="D70" s="4" t="s">
        <v>80</v>
      </c>
      <c r="E70" s="4" t="s">
        <v>81</v>
      </c>
      <c r="F70" s="5">
        <v>-55.73</v>
      </c>
      <c r="G70" s="6" t="s">
        <v>23</v>
      </c>
      <c r="H70" s="6" t="s">
        <v>24</v>
      </c>
      <c r="J70" s="7">
        <f t="shared" si="1"/>
        <v>11</v>
      </c>
      <c r="K70" s="7">
        <f t="shared" si="2"/>
        <v>2025</v>
      </c>
    </row>
    <row r="71" ht="22.5" customHeight="1">
      <c r="A71" s="8">
        <v>45946.0</v>
      </c>
      <c r="B71" s="4" t="s">
        <v>11</v>
      </c>
      <c r="C71" s="4" t="s">
        <v>32</v>
      </c>
      <c r="D71" s="4" t="s">
        <v>80</v>
      </c>
      <c r="E71" s="4" t="s">
        <v>82</v>
      </c>
      <c r="F71" s="5">
        <v>-366.0</v>
      </c>
      <c r="G71" s="6" t="s">
        <v>15</v>
      </c>
      <c r="H71" s="6" t="s">
        <v>16</v>
      </c>
      <c r="J71" s="7">
        <f t="shared" si="1"/>
        <v>10</v>
      </c>
      <c r="K71" s="7">
        <f t="shared" si="2"/>
        <v>2025</v>
      </c>
    </row>
    <row r="72" ht="22.5" hidden="1" customHeight="1">
      <c r="A72" s="3">
        <v>45966.0</v>
      </c>
      <c r="B72" s="4" t="s">
        <v>11</v>
      </c>
      <c r="C72" s="4" t="s">
        <v>32</v>
      </c>
      <c r="D72" s="4" t="s">
        <v>25</v>
      </c>
      <c r="E72" s="4" t="s">
        <v>83</v>
      </c>
      <c r="F72" s="5">
        <v>-122.72</v>
      </c>
      <c r="G72" s="6" t="s">
        <v>23</v>
      </c>
      <c r="H72" s="6" t="s">
        <v>24</v>
      </c>
      <c r="J72" s="7">
        <f t="shared" si="1"/>
        <v>11</v>
      </c>
      <c r="K72" s="7">
        <f t="shared" si="2"/>
        <v>2025</v>
      </c>
    </row>
    <row r="73" ht="22.5" hidden="1" customHeight="1">
      <c r="A73" s="10">
        <v>45976.0</v>
      </c>
      <c r="B73" s="11" t="s">
        <v>11</v>
      </c>
      <c r="C73" s="11" t="s">
        <v>32</v>
      </c>
      <c r="D73" s="4" t="s">
        <v>50</v>
      </c>
      <c r="E73" s="11" t="s">
        <v>84</v>
      </c>
      <c r="F73" s="12">
        <v>-181.96</v>
      </c>
      <c r="G73" s="6" t="s">
        <v>15</v>
      </c>
      <c r="H73" s="6" t="s">
        <v>19</v>
      </c>
      <c r="I73" s="13" t="s">
        <v>85</v>
      </c>
      <c r="J73" s="9">
        <f t="shared" si="1"/>
        <v>11</v>
      </c>
      <c r="K73" s="9">
        <f t="shared" si="2"/>
        <v>2025</v>
      </c>
    </row>
    <row r="74" ht="22.5" hidden="1" customHeight="1">
      <c r="A74" s="10">
        <v>45978.0</v>
      </c>
      <c r="B74" s="11" t="s">
        <v>11</v>
      </c>
      <c r="C74" s="11" t="s">
        <v>12</v>
      </c>
      <c r="D74" s="11" t="s">
        <v>25</v>
      </c>
      <c r="E74" s="11" t="s">
        <v>28</v>
      </c>
      <c r="F74" s="12">
        <v>-54.0</v>
      </c>
      <c r="G74" s="6" t="s">
        <v>15</v>
      </c>
      <c r="H74" s="6" t="s">
        <v>19</v>
      </c>
      <c r="I74" s="13"/>
      <c r="J74" s="9">
        <f t="shared" si="1"/>
        <v>11</v>
      </c>
      <c r="K74" s="9">
        <f t="shared" si="2"/>
        <v>2025</v>
      </c>
    </row>
    <row r="75" ht="22.5" customHeight="1">
      <c r="A75" s="10">
        <v>45978.0</v>
      </c>
      <c r="B75" s="11" t="s">
        <v>11</v>
      </c>
      <c r="C75" s="11" t="s">
        <v>32</v>
      </c>
      <c r="D75" s="11" t="s">
        <v>62</v>
      </c>
      <c r="E75" s="11" t="s">
        <v>70</v>
      </c>
      <c r="F75" s="12">
        <v>-12.37</v>
      </c>
      <c r="G75" s="6" t="s">
        <v>15</v>
      </c>
      <c r="H75" s="6" t="s">
        <v>19</v>
      </c>
      <c r="I75" s="13"/>
      <c r="J75" s="9">
        <f t="shared" si="1"/>
        <v>11</v>
      </c>
      <c r="K75" s="9">
        <f t="shared" si="2"/>
        <v>2025</v>
      </c>
    </row>
    <row r="76" ht="22.5" hidden="1" customHeight="1">
      <c r="A76" s="10">
        <v>45979.0</v>
      </c>
      <c r="B76" s="11" t="s">
        <v>11</v>
      </c>
      <c r="C76" s="11" t="s">
        <v>32</v>
      </c>
      <c r="D76" s="11" t="s">
        <v>17</v>
      </c>
      <c r="E76" s="11" t="s">
        <v>76</v>
      </c>
      <c r="F76" s="12">
        <v>-71.62</v>
      </c>
      <c r="G76" s="6" t="s">
        <v>15</v>
      </c>
      <c r="H76" s="6" t="s">
        <v>19</v>
      </c>
      <c r="I76" s="13"/>
      <c r="J76" s="9">
        <f t="shared" si="1"/>
        <v>11</v>
      </c>
      <c r="K76" s="9">
        <f t="shared" si="2"/>
        <v>2025</v>
      </c>
    </row>
    <row r="77" ht="22.5" hidden="1" customHeight="1">
      <c r="A77" s="10">
        <v>45980.0</v>
      </c>
      <c r="B77" s="11" t="s">
        <v>11</v>
      </c>
      <c r="C77" s="11" t="s">
        <v>12</v>
      </c>
      <c r="D77" s="11" t="s">
        <v>13</v>
      </c>
      <c r="E77" s="11" t="s">
        <v>14</v>
      </c>
      <c r="F77" s="12">
        <v>-114.0</v>
      </c>
      <c r="G77" s="6" t="s">
        <v>15</v>
      </c>
      <c r="H77" s="6" t="s">
        <v>19</v>
      </c>
      <c r="I77" s="13"/>
      <c r="J77" s="9">
        <f t="shared" si="1"/>
        <v>11</v>
      </c>
      <c r="K77" s="9">
        <f t="shared" si="2"/>
        <v>2025</v>
      </c>
    </row>
    <row r="78" ht="22.5" hidden="1" customHeight="1">
      <c r="A78" s="10">
        <v>45982.0</v>
      </c>
      <c r="B78" s="11" t="s">
        <v>11</v>
      </c>
      <c r="C78" s="11" t="s">
        <v>32</v>
      </c>
      <c r="D78" s="11" t="s">
        <v>33</v>
      </c>
      <c r="E78" s="11" t="s">
        <v>86</v>
      </c>
      <c r="F78" s="12">
        <v>-39.0</v>
      </c>
      <c r="G78" s="6" t="s">
        <v>15</v>
      </c>
      <c r="H78" s="6" t="s">
        <v>19</v>
      </c>
      <c r="I78" s="13"/>
      <c r="J78" s="9">
        <f t="shared" si="1"/>
        <v>11</v>
      </c>
      <c r="K78" s="9">
        <f t="shared" si="2"/>
        <v>2025</v>
      </c>
    </row>
    <row r="79" ht="22.5" customHeight="1">
      <c r="A79" s="10">
        <v>45983.0</v>
      </c>
      <c r="B79" s="11" t="s">
        <v>11</v>
      </c>
      <c r="C79" s="11" t="s">
        <v>32</v>
      </c>
      <c r="D79" s="11" t="s">
        <v>62</v>
      </c>
      <c r="E79" s="11" t="s">
        <v>70</v>
      </c>
      <c r="F79" s="12">
        <v>-9.89</v>
      </c>
      <c r="G79" s="6" t="s">
        <v>15</v>
      </c>
      <c r="H79" s="6" t="s">
        <v>19</v>
      </c>
      <c r="I79" s="13"/>
      <c r="J79" s="9">
        <f t="shared" si="1"/>
        <v>11</v>
      </c>
      <c r="K79" s="9">
        <f t="shared" si="2"/>
        <v>2025</v>
      </c>
    </row>
    <row r="80" ht="22.5" hidden="1" customHeight="1">
      <c r="A80" s="10">
        <v>45983.0</v>
      </c>
      <c r="B80" s="11" t="s">
        <v>11</v>
      </c>
      <c r="C80" s="11" t="s">
        <v>32</v>
      </c>
      <c r="D80" s="11" t="s">
        <v>33</v>
      </c>
      <c r="E80" s="11" t="s">
        <v>86</v>
      </c>
      <c r="F80" s="12">
        <v>-50.0</v>
      </c>
      <c r="G80" s="6" t="s">
        <v>15</v>
      </c>
      <c r="H80" s="6" t="s">
        <v>19</v>
      </c>
      <c r="I80" s="13" t="s">
        <v>87</v>
      </c>
      <c r="J80" s="9">
        <f t="shared" si="1"/>
        <v>11</v>
      </c>
      <c r="K80" s="9">
        <f t="shared" si="2"/>
        <v>2025</v>
      </c>
    </row>
    <row r="81" ht="22.5" hidden="1" customHeight="1">
      <c r="A81" s="10">
        <v>45986.0</v>
      </c>
      <c r="B81" s="11" t="s">
        <v>11</v>
      </c>
      <c r="C81" s="11" t="s">
        <v>12</v>
      </c>
      <c r="D81" s="11" t="s">
        <v>30</v>
      </c>
      <c r="E81" s="11" t="s">
        <v>31</v>
      </c>
      <c r="F81" s="12">
        <v>-144.97</v>
      </c>
      <c r="G81" s="6" t="s">
        <v>15</v>
      </c>
      <c r="H81" s="6" t="s">
        <v>19</v>
      </c>
      <c r="I81" s="13"/>
      <c r="J81" s="9">
        <f t="shared" si="1"/>
        <v>11</v>
      </c>
      <c r="K81" s="9">
        <f t="shared" si="2"/>
        <v>2025</v>
      </c>
    </row>
    <row r="82" ht="22.5" customHeight="1">
      <c r="A82" s="10">
        <v>45986.0</v>
      </c>
      <c r="B82" s="11" t="s">
        <v>11</v>
      </c>
      <c r="C82" s="11" t="s">
        <v>32</v>
      </c>
      <c r="D82" s="11" t="s">
        <v>62</v>
      </c>
      <c r="E82" s="11" t="s">
        <v>70</v>
      </c>
      <c r="F82" s="12">
        <v>-49.46</v>
      </c>
      <c r="G82" s="6" t="s">
        <v>15</v>
      </c>
      <c r="H82" s="6" t="s">
        <v>19</v>
      </c>
      <c r="I82" s="13"/>
      <c r="J82" s="9">
        <f t="shared" si="1"/>
        <v>11</v>
      </c>
      <c r="K82" s="9">
        <f t="shared" si="2"/>
        <v>2025</v>
      </c>
    </row>
    <row r="83" ht="22.5" customHeight="1">
      <c r="A83" s="10">
        <v>45988.0</v>
      </c>
      <c r="B83" s="11" t="s">
        <v>21</v>
      </c>
      <c r="C83" s="11" t="s">
        <v>12</v>
      </c>
      <c r="D83" s="11" t="s">
        <v>22</v>
      </c>
      <c r="E83" s="11" t="s">
        <v>22</v>
      </c>
      <c r="F83" s="12">
        <v>4733.0</v>
      </c>
      <c r="G83" s="6" t="s">
        <v>23</v>
      </c>
      <c r="H83" s="6" t="s">
        <v>24</v>
      </c>
      <c r="I83" s="13"/>
      <c r="J83" s="9">
        <f t="shared" si="1"/>
        <v>11</v>
      </c>
      <c r="K83" s="9">
        <f t="shared" si="2"/>
        <v>2025</v>
      </c>
    </row>
    <row r="84" ht="22.5" customHeight="1">
      <c r="A84" s="10">
        <v>45988.0</v>
      </c>
      <c r="B84" s="11" t="s">
        <v>21</v>
      </c>
      <c r="C84" s="11" t="s">
        <v>12</v>
      </c>
      <c r="D84" s="11" t="s">
        <v>22</v>
      </c>
      <c r="E84" s="11" t="s">
        <v>22</v>
      </c>
      <c r="F84" s="12">
        <v>3071.41</v>
      </c>
      <c r="G84" s="6" t="s">
        <v>23</v>
      </c>
      <c r="H84" s="6" t="s">
        <v>24</v>
      </c>
      <c r="I84" s="13"/>
      <c r="J84" s="9">
        <f t="shared" si="1"/>
        <v>11</v>
      </c>
      <c r="K84" s="9">
        <f t="shared" si="2"/>
        <v>2025</v>
      </c>
    </row>
  </sheetData>
  <dataValidations>
    <dataValidation type="list" allowBlank="1" sqref="B2:B84">
      <formula1>"Despesa,Receita"</formula1>
    </dataValidation>
    <dataValidation type="list" allowBlank="1" sqref="C2:C84">
      <formula1>"Fixo,Variável"</formula1>
    </dataValidation>
    <dataValidation type="list" allowBlank="1" sqref="D2:D84">
      <formula1>"Aquisições,Consumo,Cuidado Pessoal,Educação,Lazer,Utilidades,Transporte,Outros,Salário,Serviços"</formula1>
    </dataValidation>
    <dataValidation type="custom" allowBlank="1" showDropDown="1" sqref="F2:F84">
      <formula1>AND(ISNUMBER(F2),(NOT(OR(NOT(ISERROR(DATEVALUE(F2))), AND(ISNUMBER(F2), LEFT(CELL("format", F2))="D")))))</formula1>
    </dataValidation>
    <dataValidation type="list" allowBlank="1" sqref="E2:E84">
      <formula1>"Corte de Cabelo,Cursos,Salário,Google One,Plano Telefônico,Spotify,Microsoft365,IPVA,Viagens,Mercado,Combustível,Aulas,Gabi,Veterinário,Lanchonete,Eletrônicos,Farmácia,Jogos,Futebol,Outros,Delivery,Internet,Presentes,Roupas e Calçados,Livros,Utilitários,R"&amp;"olês"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5.0"/>
    <col customWidth="1" min="3" max="3" width="16.13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</sheetData>
  <drawing r:id="rId2"/>
</worksheet>
</file>